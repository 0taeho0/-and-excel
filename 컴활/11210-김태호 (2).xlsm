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tabRatio="799" activeTab="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'기본작업-3'!$A$3:$G$18</definedName>
    <definedName name="_xlnm.Criteria" localSheetId="2">'기본작업-3'!$A$20:$B$21</definedName>
    <definedName name="_xlnm.Extract" localSheetId="2">'기본작업-3'!$A$24:$G$24</definedName>
    <definedName name="순이익총액">'분석작업-2'!$B$15</definedName>
    <definedName name="전화번호">'기본작업-2'!$F$4:$F$13</definedName>
    <definedName name="판매가">'분석작업-2'!$B$6</definedName>
    <definedName name="판매량">'분석작업-2'!$B$7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I23" i="4"/>
  <c r="I16" i="4"/>
  <c r="I17" i="4"/>
  <c r="I18" i="4"/>
  <c r="I19" i="4"/>
  <c r="I20" i="4"/>
  <c r="I21" i="4"/>
  <c r="I22" i="4"/>
  <c r="I15" i="4"/>
  <c r="G27" i="4"/>
  <c r="E16" i="4"/>
  <c r="E17" i="4"/>
  <c r="E18" i="4"/>
  <c r="E19" i="4"/>
  <c r="E20" i="4"/>
  <c r="E21" i="4"/>
  <c r="E22" i="4"/>
  <c r="E23" i="4"/>
  <c r="E15" i="4"/>
  <c r="L3" i="4"/>
  <c r="C4" i="4"/>
  <c r="C5" i="4"/>
  <c r="C6" i="4"/>
  <c r="C7" i="4"/>
  <c r="C8" i="4"/>
  <c r="C9" i="4"/>
  <c r="C10" i="4"/>
  <c r="C11" i="4"/>
  <c r="C3" i="4"/>
  <c r="E12" i="7"/>
  <c r="F12" i="7"/>
  <c r="G12" i="7"/>
  <c r="H12" i="7"/>
  <c r="D12" i="7"/>
  <c r="H11" i="7" l="1"/>
  <c r="H10" i="7"/>
  <c r="H9" i="7"/>
  <c r="H8" i="7"/>
  <c r="H7" i="7"/>
  <c r="H6" i="7"/>
  <c r="H5" i="7"/>
  <c r="H4" i="7"/>
  <c r="B13" i="6"/>
  <c r="B9" i="6"/>
  <c r="B8" i="6"/>
  <c r="B14" i="6" l="1"/>
  <c r="B15" i="6" s="1"/>
</calcChain>
</file>

<file path=xl/sharedStrings.xml><?xml version="1.0" encoding="utf-8"?>
<sst xmlns="http://schemas.openxmlformats.org/spreadsheetml/2006/main" count="449" uniqueCount="377">
  <si>
    <t>의약품 정보</t>
    <phoneticPr fontId="3" type="noConversion"/>
  </si>
  <si>
    <t>축구회원 명단</t>
    <phoneticPr fontId="3" type="noConversion"/>
  </si>
  <si>
    <t>성명</t>
    <phoneticPr fontId="3" type="noConversion"/>
  </si>
  <si>
    <t>나이</t>
    <phoneticPr fontId="3" type="noConversion"/>
  </si>
  <si>
    <t>주포지션</t>
    <phoneticPr fontId="3" type="noConversion"/>
  </si>
  <si>
    <t>가입일</t>
    <phoneticPr fontId="3" type="noConversion"/>
  </si>
  <si>
    <t>거주지</t>
    <phoneticPr fontId="3" type="noConversion"/>
  </si>
  <si>
    <t>전화번호</t>
    <phoneticPr fontId="3" type="noConversion"/>
  </si>
  <si>
    <t>직업</t>
    <phoneticPr fontId="3" type="noConversion"/>
  </si>
  <si>
    <t>이메일</t>
    <phoneticPr fontId="3" type="noConversion"/>
  </si>
  <si>
    <t>회비납부총액</t>
    <phoneticPr fontId="3" type="noConversion"/>
  </si>
  <si>
    <t>김을명</t>
    <phoneticPr fontId="3" type="noConversion"/>
  </si>
  <si>
    <t>36세</t>
    <phoneticPr fontId="3" type="noConversion"/>
  </si>
  <si>
    <t>풀백</t>
    <phoneticPr fontId="3" type="noConversion"/>
  </si>
  <si>
    <t>영등포</t>
    <phoneticPr fontId="3" type="noConversion"/>
  </si>
  <si>
    <t>010-2356-0847</t>
    <phoneticPr fontId="3" type="noConversion"/>
  </si>
  <si>
    <t>자영업</t>
    <phoneticPr fontId="3" type="noConversion"/>
  </si>
  <si>
    <t>blue</t>
    <phoneticPr fontId="3" type="noConversion"/>
  </si>
  <si>
    <t>강동식</t>
    <phoneticPr fontId="3" type="noConversion"/>
  </si>
  <si>
    <t>32세</t>
    <phoneticPr fontId="3" type="noConversion"/>
  </si>
  <si>
    <t>미드필드</t>
    <phoneticPr fontId="3" type="noConversion"/>
  </si>
  <si>
    <t>목동</t>
    <phoneticPr fontId="3" type="noConversion"/>
  </si>
  <si>
    <t>010-8783-0921</t>
    <phoneticPr fontId="1" type="noConversion"/>
  </si>
  <si>
    <t>회사원</t>
    <phoneticPr fontId="3" type="noConversion"/>
  </si>
  <si>
    <t>star</t>
    <phoneticPr fontId="3" type="noConversion"/>
  </si>
  <si>
    <t>최서민</t>
    <phoneticPr fontId="3" type="noConversion"/>
  </si>
  <si>
    <t>26세</t>
    <phoneticPr fontId="3" type="noConversion"/>
  </si>
  <si>
    <t>센터포드</t>
    <phoneticPr fontId="3" type="noConversion"/>
  </si>
  <si>
    <t>여의도</t>
    <phoneticPr fontId="3" type="noConversion"/>
  </si>
  <si>
    <t>010-3472-6382</t>
    <phoneticPr fontId="1" type="noConversion"/>
  </si>
  <si>
    <t>학생</t>
    <phoneticPr fontId="3" type="noConversion"/>
  </si>
  <si>
    <t>sky</t>
    <phoneticPr fontId="3" type="noConversion"/>
  </si>
  <si>
    <t>주희용</t>
    <phoneticPr fontId="3" type="noConversion"/>
  </si>
  <si>
    <t>29세</t>
    <phoneticPr fontId="3" type="noConversion"/>
  </si>
  <si>
    <t>라이트윙</t>
    <phoneticPr fontId="3" type="noConversion"/>
  </si>
  <si>
    <t>부천</t>
    <phoneticPr fontId="3" type="noConversion"/>
  </si>
  <si>
    <t>010-5387-8521</t>
    <phoneticPr fontId="1" type="noConversion"/>
  </si>
  <si>
    <t>회사원</t>
    <phoneticPr fontId="3" type="noConversion"/>
  </si>
  <si>
    <t>lion</t>
    <phoneticPr fontId="3" type="noConversion"/>
  </si>
  <si>
    <t>박두식</t>
    <phoneticPr fontId="3" type="noConversion"/>
  </si>
  <si>
    <t>41세</t>
    <phoneticPr fontId="3" type="noConversion"/>
  </si>
  <si>
    <t>사당</t>
    <phoneticPr fontId="3" type="noConversion"/>
  </si>
  <si>
    <t>019-7487-9861</t>
    <phoneticPr fontId="3" type="noConversion"/>
  </si>
  <si>
    <t>twin</t>
    <phoneticPr fontId="3" type="noConversion"/>
  </si>
  <si>
    <t>조용호</t>
    <phoneticPr fontId="3" type="noConversion"/>
  </si>
  <si>
    <t>39세</t>
    <phoneticPr fontId="3" type="noConversion"/>
  </si>
  <si>
    <t>풀백</t>
    <phoneticPr fontId="3" type="noConversion"/>
  </si>
  <si>
    <t>구로</t>
    <phoneticPr fontId="3" type="noConversion"/>
  </si>
  <si>
    <t>010-2498-3729</t>
    <phoneticPr fontId="1" type="noConversion"/>
  </si>
  <si>
    <t>자영업</t>
    <phoneticPr fontId="3" type="noConversion"/>
  </si>
  <si>
    <t>red</t>
    <phoneticPr fontId="3" type="noConversion"/>
  </si>
  <si>
    <t>이선용</t>
    <phoneticPr fontId="3" type="noConversion"/>
  </si>
  <si>
    <t>30세</t>
    <phoneticPr fontId="3" type="noConversion"/>
  </si>
  <si>
    <t>미드필드</t>
    <phoneticPr fontId="3" type="noConversion"/>
  </si>
  <si>
    <t>여의도</t>
    <phoneticPr fontId="3" type="noConversion"/>
  </si>
  <si>
    <t>010-8193-4578</t>
    <phoneticPr fontId="3" type="noConversion"/>
  </si>
  <si>
    <t>mount</t>
    <phoneticPr fontId="3" type="noConversion"/>
  </si>
  <si>
    <t>윤기민</t>
    <phoneticPr fontId="3" type="noConversion"/>
  </si>
  <si>
    <t>27세</t>
    <phoneticPr fontId="3" type="noConversion"/>
  </si>
  <si>
    <t>레프트윙</t>
    <phoneticPr fontId="3" type="noConversion"/>
  </si>
  <si>
    <t>영등포</t>
    <phoneticPr fontId="3" type="noConversion"/>
  </si>
  <si>
    <t>010-7374-4832</t>
    <phoneticPr fontId="1" type="noConversion"/>
  </si>
  <si>
    <t>bakum</t>
    <phoneticPr fontId="3" type="noConversion"/>
  </si>
  <si>
    <t>장인채</t>
    <phoneticPr fontId="3" type="noConversion"/>
  </si>
  <si>
    <t>45세</t>
    <phoneticPr fontId="3" type="noConversion"/>
  </si>
  <si>
    <t>골기퍼</t>
    <phoneticPr fontId="3" type="noConversion"/>
  </si>
  <si>
    <t>마포</t>
    <phoneticPr fontId="3" type="noConversion"/>
  </si>
  <si>
    <t>010-4382-8943</t>
    <phoneticPr fontId="1" type="noConversion"/>
  </si>
  <si>
    <t>교사</t>
    <phoneticPr fontId="3" type="noConversion"/>
  </si>
  <si>
    <t>keeper</t>
    <phoneticPr fontId="3" type="noConversion"/>
  </si>
  <si>
    <t>기민해</t>
    <phoneticPr fontId="3" type="noConversion"/>
  </si>
  <si>
    <t>31세</t>
    <phoneticPr fontId="3" type="noConversion"/>
  </si>
  <si>
    <t>부천</t>
    <phoneticPr fontId="3" type="noConversion"/>
  </si>
  <si>
    <t>010-6370-5729</t>
    <phoneticPr fontId="1" type="noConversion"/>
  </si>
  <si>
    <t>공무원</t>
    <phoneticPr fontId="3" type="noConversion"/>
  </si>
  <si>
    <t>kicker</t>
    <phoneticPr fontId="3" type="noConversion"/>
  </si>
  <si>
    <t>건강검진 결과표</t>
    <phoneticPr fontId="3" type="noConversion"/>
  </si>
  <si>
    <t>성별</t>
    <phoneticPr fontId="3" type="noConversion"/>
  </si>
  <si>
    <t>연령(대)</t>
    <phoneticPr fontId="3" type="noConversion"/>
  </si>
  <si>
    <t>몸무게</t>
    <phoneticPr fontId="3" type="noConversion"/>
  </si>
  <si>
    <t>키</t>
    <phoneticPr fontId="3" type="noConversion"/>
  </si>
  <si>
    <t>혈압수치</t>
    <phoneticPr fontId="3" type="noConversion"/>
  </si>
  <si>
    <t>BMI</t>
    <phoneticPr fontId="3" type="noConversion"/>
  </si>
  <si>
    <t>곽순영</t>
    <phoneticPr fontId="3" type="noConversion"/>
  </si>
  <si>
    <t>여</t>
    <phoneticPr fontId="3" type="noConversion"/>
  </si>
  <si>
    <t>김세란</t>
    <phoneticPr fontId="3" type="noConversion"/>
  </si>
  <si>
    <t>김숙영</t>
    <phoneticPr fontId="3" type="noConversion"/>
  </si>
  <si>
    <t>남우철</t>
    <phoneticPr fontId="3" type="noConversion"/>
  </si>
  <si>
    <t>남</t>
    <phoneticPr fontId="3" type="noConversion"/>
  </si>
  <si>
    <t>박명중</t>
    <phoneticPr fontId="3" type="noConversion"/>
  </si>
  <si>
    <t>백미남</t>
    <phoneticPr fontId="3" type="noConversion"/>
  </si>
  <si>
    <t>신정원</t>
    <phoneticPr fontId="3" type="noConversion"/>
  </si>
  <si>
    <t>이명순</t>
    <phoneticPr fontId="3" type="noConversion"/>
  </si>
  <si>
    <t>여</t>
    <phoneticPr fontId="3" type="noConversion"/>
  </si>
  <si>
    <t>이미나</t>
    <phoneticPr fontId="3" type="noConversion"/>
  </si>
  <si>
    <t>이미란</t>
    <phoneticPr fontId="3" type="noConversion"/>
  </si>
  <si>
    <t>장길중</t>
    <phoneticPr fontId="3" type="noConversion"/>
  </si>
  <si>
    <t>남</t>
    <phoneticPr fontId="3" type="noConversion"/>
  </si>
  <si>
    <t>장진영</t>
    <phoneticPr fontId="3" type="noConversion"/>
  </si>
  <si>
    <t>정인숙</t>
    <phoneticPr fontId="3" type="noConversion"/>
  </si>
  <si>
    <t>차지남</t>
    <phoneticPr fontId="3" type="noConversion"/>
  </si>
  <si>
    <t>허인수</t>
    <phoneticPr fontId="3" type="noConversion"/>
  </si>
  <si>
    <t>[표1]</t>
    <phoneticPr fontId="1" type="noConversion"/>
  </si>
  <si>
    <t>가전제품 판매현황</t>
    <phoneticPr fontId="1" type="noConversion"/>
  </si>
  <si>
    <t>[표2]</t>
    <phoneticPr fontId="1" type="noConversion"/>
  </si>
  <si>
    <t>여름 휴가 일정표</t>
    <phoneticPr fontId="1" type="noConversion"/>
  </si>
  <si>
    <t>제품코드</t>
    <phoneticPr fontId="1" type="noConversion"/>
  </si>
  <si>
    <t>판매량</t>
    <phoneticPr fontId="1" type="noConversion"/>
  </si>
  <si>
    <t>판매량</t>
    <phoneticPr fontId="1" type="noConversion"/>
  </si>
  <si>
    <t>총판매액</t>
    <phoneticPr fontId="1" type="noConversion"/>
  </si>
  <si>
    <t>&lt;코드표&gt;</t>
    <phoneticPr fontId="1" type="noConversion"/>
  </si>
  <si>
    <t>단위:천원</t>
    <phoneticPr fontId="1" type="noConversion"/>
  </si>
  <si>
    <t>성명</t>
    <phoneticPr fontId="1" type="noConversion"/>
  </si>
  <si>
    <t>휴가시작일</t>
    <phoneticPr fontId="1" type="noConversion"/>
  </si>
  <si>
    <t>휴가일수</t>
    <phoneticPr fontId="1" type="noConversion"/>
  </si>
  <si>
    <t>회사출근일</t>
    <phoneticPr fontId="1" type="noConversion"/>
  </si>
  <si>
    <t>RT-21</t>
    <phoneticPr fontId="1" type="noConversion"/>
  </si>
  <si>
    <t>코드</t>
    <phoneticPr fontId="1" type="noConversion"/>
  </si>
  <si>
    <t>제품명</t>
    <phoneticPr fontId="1" type="noConversion"/>
  </si>
  <si>
    <t>판매가</t>
    <phoneticPr fontId="1" type="noConversion"/>
  </si>
  <si>
    <t>고소은</t>
    <phoneticPr fontId="3" type="noConversion"/>
  </si>
  <si>
    <t>WD-35</t>
    <phoneticPr fontId="1" type="noConversion"/>
  </si>
  <si>
    <t>R</t>
    <phoneticPr fontId="1" type="noConversion"/>
  </si>
  <si>
    <t>냉장고</t>
    <phoneticPr fontId="1" type="noConversion"/>
  </si>
  <si>
    <t>박철수</t>
    <phoneticPr fontId="3" type="noConversion"/>
  </si>
  <si>
    <t>HQ-98</t>
    <phoneticPr fontId="1" type="noConversion"/>
  </si>
  <si>
    <t>W</t>
    <phoneticPr fontId="1" type="noConversion"/>
  </si>
  <si>
    <t>세탁기</t>
    <phoneticPr fontId="1" type="noConversion"/>
  </si>
  <si>
    <t>김재영</t>
    <phoneticPr fontId="3" type="noConversion"/>
  </si>
  <si>
    <t>AY-76</t>
    <phoneticPr fontId="1" type="noConversion"/>
  </si>
  <si>
    <t>H</t>
    <phoneticPr fontId="1" type="noConversion"/>
  </si>
  <si>
    <t>HDTV</t>
    <phoneticPr fontId="1" type="noConversion"/>
  </si>
  <si>
    <t>나빛나</t>
    <phoneticPr fontId="3" type="noConversion"/>
  </si>
  <si>
    <t>HI-53</t>
    <phoneticPr fontId="1" type="noConversion"/>
  </si>
  <si>
    <t>A</t>
    <phoneticPr fontId="1" type="noConversion"/>
  </si>
  <si>
    <t>에어컨</t>
    <phoneticPr fontId="1" type="noConversion"/>
  </si>
  <si>
    <t>최순애</t>
    <phoneticPr fontId="3" type="noConversion"/>
  </si>
  <si>
    <t>RZ-88</t>
    <phoneticPr fontId="1" type="noConversion"/>
  </si>
  <si>
    <t>강철준</t>
    <phoneticPr fontId="3" type="noConversion"/>
  </si>
  <si>
    <t>WP-20</t>
    <phoneticPr fontId="1" type="noConversion"/>
  </si>
  <si>
    <t>이주아</t>
    <phoneticPr fontId="1" type="noConversion"/>
  </si>
  <si>
    <t>AO-27</t>
    <phoneticPr fontId="1" type="noConversion"/>
  </si>
  <si>
    <t>최현경</t>
    <phoneticPr fontId="1" type="noConversion"/>
  </si>
  <si>
    <t>RC-28</t>
    <phoneticPr fontId="1" type="noConversion"/>
  </si>
  <si>
    <t>김한성</t>
    <phoneticPr fontId="1" type="noConversion"/>
  </si>
  <si>
    <t>[표3]</t>
    <phoneticPr fontId="1" type="noConversion"/>
  </si>
  <si>
    <t>중고차동차 목록</t>
    <phoneticPr fontId="1" type="noConversion"/>
  </si>
  <si>
    <t>기준거리</t>
    <phoneticPr fontId="1" type="noConversion"/>
  </si>
  <si>
    <t>[표4]</t>
    <phoneticPr fontId="1" type="noConversion"/>
  </si>
  <si>
    <t>상급 수영 회원 명단</t>
    <phoneticPr fontId="1" type="noConversion"/>
  </si>
  <si>
    <t>모델</t>
    <phoneticPr fontId="3" type="noConversion"/>
  </si>
  <si>
    <t>연식</t>
    <phoneticPr fontId="3" type="noConversion"/>
  </si>
  <si>
    <t>정비</t>
    <phoneticPr fontId="3" type="noConversion"/>
  </si>
  <si>
    <t>주행거리</t>
    <phoneticPr fontId="3" type="noConversion"/>
  </si>
  <si>
    <t>비고</t>
    <phoneticPr fontId="1" type="noConversion"/>
  </si>
  <si>
    <t>성명</t>
    <phoneticPr fontId="1" type="noConversion"/>
  </si>
  <si>
    <t>주소</t>
    <phoneticPr fontId="1" type="noConversion"/>
  </si>
  <si>
    <t>아이디</t>
    <phoneticPr fontId="1" type="noConversion"/>
  </si>
  <si>
    <t>가입 E-메일</t>
    <phoneticPr fontId="1" type="noConversion"/>
  </si>
  <si>
    <t>오3245</t>
    <phoneticPr fontId="3" type="noConversion"/>
  </si>
  <si>
    <t>2007년 9월</t>
    <phoneticPr fontId="3" type="noConversion"/>
  </si>
  <si>
    <t>기성훈</t>
    <phoneticPr fontId="3" type="noConversion"/>
  </si>
  <si>
    <t>서초동</t>
    <phoneticPr fontId="1" type="noConversion"/>
  </si>
  <si>
    <t>서초동</t>
    <phoneticPr fontId="1" type="noConversion"/>
  </si>
  <si>
    <t>gisung11@hanmail.com</t>
    <phoneticPr fontId="1" type="noConversion"/>
  </si>
  <si>
    <t>투5643</t>
    <phoneticPr fontId="3" type="noConversion"/>
  </si>
  <si>
    <t>2011년 3월</t>
    <phoneticPr fontId="3" type="noConversion"/>
  </si>
  <si>
    <t>보증</t>
    <phoneticPr fontId="3" type="noConversion"/>
  </si>
  <si>
    <t>피영철</t>
    <phoneticPr fontId="3" type="noConversion"/>
  </si>
  <si>
    <t>양재동</t>
    <phoneticPr fontId="1" type="noConversion"/>
  </si>
  <si>
    <t>양재동</t>
    <phoneticPr fontId="1" type="noConversion"/>
  </si>
  <si>
    <t>piyung22@naver.com</t>
    <phoneticPr fontId="1" type="noConversion"/>
  </si>
  <si>
    <t>기6754</t>
    <phoneticPr fontId="3" type="noConversion"/>
  </si>
  <si>
    <t>2005년 11월</t>
    <phoneticPr fontId="3" type="noConversion"/>
  </si>
  <si>
    <t>소나무</t>
    <phoneticPr fontId="3" type="noConversion"/>
  </si>
  <si>
    <t>방배동</t>
    <phoneticPr fontId="1" type="noConversion"/>
  </si>
  <si>
    <t>sona44@nate.com</t>
    <phoneticPr fontId="1" type="noConversion"/>
  </si>
  <si>
    <t>그3425</t>
    <phoneticPr fontId="3" type="noConversion"/>
  </si>
  <si>
    <t>2013년 10월</t>
    <phoneticPr fontId="3" type="noConversion"/>
  </si>
  <si>
    <t>참나무</t>
    <phoneticPr fontId="3" type="noConversion"/>
  </si>
  <si>
    <t>우면동</t>
    <phoneticPr fontId="1" type="noConversion"/>
  </si>
  <si>
    <t>tree99@gmail.com</t>
    <phoneticPr fontId="1" type="noConversion"/>
  </si>
  <si>
    <t>에8907</t>
    <phoneticPr fontId="3" type="noConversion"/>
  </si>
  <si>
    <t>2014년 12월</t>
    <phoneticPr fontId="3" type="noConversion"/>
  </si>
  <si>
    <t>보증</t>
  </si>
  <si>
    <t>벽오동</t>
    <phoneticPr fontId="3" type="noConversion"/>
  </si>
  <si>
    <t>서초동</t>
    <phoneticPr fontId="1" type="noConversion"/>
  </si>
  <si>
    <t>odong55@daum.net</t>
    <phoneticPr fontId="1" type="noConversion"/>
  </si>
  <si>
    <t>그5813</t>
  </si>
  <si>
    <t>2012년 10월</t>
    <phoneticPr fontId="3" type="noConversion"/>
  </si>
  <si>
    <t>고구마</t>
    <phoneticPr fontId="3" type="noConversion"/>
  </si>
  <si>
    <t>gogu88@hanamil.net</t>
    <phoneticPr fontId="1" type="noConversion"/>
  </si>
  <si>
    <t>카4532</t>
    <phoneticPr fontId="3" type="noConversion"/>
  </si>
  <si>
    <t>2009년 3월</t>
    <phoneticPr fontId="3" type="noConversion"/>
  </si>
  <si>
    <t>면라면</t>
    <phoneticPr fontId="3" type="noConversion"/>
  </si>
  <si>
    <t>lamen33@naver.com</t>
    <phoneticPr fontId="1" type="noConversion"/>
  </si>
  <si>
    <t>엑6754</t>
    <phoneticPr fontId="3" type="noConversion"/>
  </si>
  <si>
    <t>2006년 5월</t>
    <phoneticPr fontId="3" type="noConversion"/>
  </si>
  <si>
    <t>돈피그</t>
    <phoneticPr fontId="3" type="noConversion"/>
  </si>
  <si>
    <t>dongpi77@daum.net</t>
    <phoneticPr fontId="1" type="noConversion"/>
  </si>
  <si>
    <t>산7653</t>
    <phoneticPr fontId="3" type="noConversion"/>
  </si>
  <si>
    <t>2008년 9월</t>
    <phoneticPr fontId="3" type="noConversion"/>
  </si>
  <si>
    <t>박철수</t>
    <phoneticPr fontId="1" type="noConversion"/>
  </si>
  <si>
    <t>방배동</t>
    <phoneticPr fontId="1" type="noConversion"/>
  </si>
  <si>
    <t>pchsu66@gmail.com</t>
    <phoneticPr fontId="1" type="noConversion"/>
  </si>
  <si>
    <t>[표5]</t>
    <phoneticPr fontId="1" type="noConversion"/>
  </si>
  <si>
    <t>기말고사 성적표</t>
    <phoneticPr fontId="1" type="noConversion"/>
  </si>
  <si>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</si>
  <si>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</si>
  <si>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</si>
  <si>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</si>
  <si>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</si>
  <si>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여학생 수학 평균점수</t>
    <phoneticPr fontId="1" type="noConversion"/>
  </si>
  <si>
    <t>이한우</t>
    <phoneticPr fontId="1" type="noConversion"/>
  </si>
  <si>
    <t>남</t>
    <phoneticPr fontId="1" type="noConversion"/>
  </si>
  <si>
    <t>남</t>
    <phoneticPr fontId="1" type="noConversion"/>
  </si>
  <si>
    <t>김금순</t>
    <phoneticPr fontId="1" type="noConversion"/>
  </si>
  <si>
    <t>여</t>
    <phoneticPr fontId="1" type="noConversion"/>
  </si>
  <si>
    <t>김종규</t>
    <phoneticPr fontId="1" type="noConversion"/>
  </si>
  <si>
    <t>안영자</t>
    <phoneticPr fontId="1" type="noConversion"/>
  </si>
  <si>
    <t>서은구</t>
    <phoneticPr fontId="1" type="noConversion"/>
  </si>
  <si>
    <t>남</t>
    <phoneticPr fontId="1" type="noConversion"/>
  </si>
  <si>
    <t>김규환</t>
    <phoneticPr fontId="1" type="noConversion"/>
  </si>
  <si>
    <t>김은진</t>
    <phoneticPr fontId="1" type="noConversion"/>
  </si>
  <si>
    <t>윤향기</t>
    <phoneticPr fontId="1" type="noConversion"/>
  </si>
  <si>
    <t>김필승</t>
    <phoneticPr fontId="1" type="noConversion"/>
  </si>
  <si>
    <t>한성수</t>
    <phoneticPr fontId="1" type="noConversion"/>
  </si>
  <si>
    <t>박물관 입장객 현황</t>
    <phoneticPr fontId="1" type="noConversion"/>
  </si>
  <si>
    <t>서울, 경기 박물관 평균 입장객 수</t>
    <phoneticPr fontId="1" type="noConversion"/>
  </si>
  <si>
    <t>월</t>
    <phoneticPr fontId="1" type="noConversion"/>
  </si>
  <si>
    <t>박물관</t>
    <phoneticPr fontId="1" type="noConversion"/>
  </si>
  <si>
    <t>박물관</t>
    <phoneticPr fontId="1" type="noConversion"/>
  </si>
  <si>
    <t>성인</t>
    <phoneticPr fontId="1" type="noConversion"/>
  </si>
  <si>
    <t>청소년</t>
    <phoneticPr fontId="1" type="noConversion"/>
  </si>
  <si>
    <t>어린이</t>
    <phoneticPr fontId="1" type="noConversion"/>
  </si>
  <si>
    <t>성인</t>
    <phoneticPr fontId="1" type="noConversion"/>
  </si>
  <si>
    <t>청소년</t>
    <phoneticPr fontId="1" type="noConversion"/>
  </si>
  <si>
    <t>어린이</t>
    <phoneticPr fontId="1" type="noConversion"/>
  </si>
  <si>
    <t>7월</t>
    <phoneticPr fontId="1" type="noConversion"/>
  </si>
  <si>
    <t>국립 중앙</t>
    <phoneticPr fontId="1" type="noConversion"/>
  </si>
  <si>
    <t>국립 중앙</t>
    <phoneticPr fontId="1" type="noConversion"/>
  </si>
  <si>
    <t>국립 민속</t>
    <phoneticPr fontId="1" type="noConversion"/>
  </si>
  <si>
    <t>국립 민속</t>
    <phoneticPr fontId="1" type="noConversion"/>
  </si>
  <si>
    <t>서울 역사</t>
    <phoneticPr fontId="1" type="noConversion"/>
  </si>
  <si>
    <t>서울 역사</t>
    <phoneticPr fontId="1" type="noConversion"/>
  </si>
  <si>
    <t>국립 고궁</t>
    <phoneticPr fontId="1" type="noConversion"/>
  </si>
  <si>
    <t>국립 고궁</t>
    <phoneticPr fontId="1" type="noConversion"/>
  </si>
  <si>
    <t>국립 고궁</t>
    <phoneticPr fontId="1" type="noConversion"/>
  </si>
  <si>
    <t>경기도</t>
    <phoneticPr fontId="1" type="noConversion"/>
  </si>
  <si>
    <t>경기도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</si>
  <si>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</si>
  <si>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</si>
  <si>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</si>
  <si>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국립 중앙</t>
    <phoneticPr fontId="1" type="noConversion"/>
  </si>
  <si>
    <t>국립 민속</t>
    <phoneticPr fontId="1" type="noConversion"/>
  </si>
  <si>
    <t>수영복 판매 현황</t>
    <phoneticPr fontId="1" type="noConversion"/>
  </si>
  <si>
    <t>제품코드</t>
    <phoneticPr fontId="1" type="noConversion"/>
  </si>
  <si>
    <t>ARFC035-5</t>
    <phoneticPr fontId="1" type="noConversion"/>
  </si>
  <si>
    <t>생산원가</t>
    <phoneticPr fontId="1" type="noConversion"/>
  </si>
  <si>
    <t>생산량</t>
    <phoneticPr fontId="1" type="noConversion"/>
  </si>
  <si>
    <t>재고량</t>
    <phoneticPr fontId="1" type="noConversion"/>
  </si>
  <si>
    <t>판매금액</t>
    <phoneticPr fontId="1" type="noConversion"/>
  </si>
  <si>
    <t>광고비</t>
    <phoneticPr fontId="1" type="noConversion"/>
  </si>
  <si>
    <t>임대비</t>
    <phoneticPr fontId="1" type="noConversion"/>
  </si>
  <si>
    <t>배송비</t>
    <phoneticPr fontId="1" type="noConversion"/>
  </si>
  <si>
    <t>세금</t>
    <phoneticPr fontId="1" type="noConversion"/>
  </si>
  <si>
    <t>순이익총액</t>
    <phoneticPr fontId="1" type="noConversion"/>
  </si>
  <si>
    <t>든든보험 설계사 실적 현황</t>
    <phoneticPr fontId="3" type="noConversion"/>
  </si>
  <si>
    <t>(단위:천원)</t>
    <phoneticPr fontId="3" type="noConversion"/>
  </si>
  <si>
    <t>설계사명</t>
    <phoneticPr fontId="3" type="noConversion"/>
  </si>
  <si>
    <t>주영업지역</t>
    <phoneticPr fontId="3" type="noConversion"/>
  </si>
  <si>
    <t>주보험분야</t>
    <phoneticPr fontId="3" type="noConversion"/>
  </si>
  <si>
    <t>1분기</t>
    <phoneticPr fontId="3" type="noConversion"/>
  </si>
  <si>
    <t>2분기</t>
    <phoneticPr fontId="3" type="noConversion"/>
  </si>
  <si>
    <t>3분기</t>
    <phoneticPr fontId="3" type="noConversion"/>
  </si>
  <si>
    <t>4분기</t>
    <phoneticPr fontId="3" type="noConversion"/>
  </si>
  <si>
    <t>실적총액</t>
    <phoneticPr fontId="3" type="noConversion"/>
  </si>
  <si>
    <t>나신영</t>
    <phoneticPr fontId="3" type="noConversion"/>
  </si>
  <si>
    <t>서울 강서</t>
    <phoneticPr fontId="3" type="noConversion"/>
  </si>
  <si>
    <t>상해보험</t>
    <phoneticPr fontId="3" type="noConversion"/>
  </si>
  <si>
    <t>고건희</t>
    <phoneticPr fontId="3" type="noConversion"/>
  </si>
  <si>
    <t>서울 강남</t>
    <phoneticPr fontId="3" type="noConversion"/>
  </si>
  <si>
    <t>종신보험</t>
    <phoneticPr fontId="3" type="noConversion"/>
  </si>
  <si>
    <t>정성태</t>
    <phoneticPr fontId="3" type="noConversion"/>
  </si>
  <si>
    <t>경기 남부</t>
    <phoneticPr fontId="3" type="noConversion"/>
  </si>
  <si>
    <t>자동차보험</t>
    <phoneticPr fontId="3" type="noConversion"/>
  </si>
  <si>
    <t>김한용</t>
    <phoneticPr fontId="3" type="noConversion"/>
  </si>
  <si>
    <t>대전</t>
    <phoneticPr fontId="3" type="noConversion"/>
  </si>
  <si>
    <t>화재보험</t>
    <phoneticPr fontId="3" type="noConversion"/>
  </si>
  <si>
    <t>이태성</t>
    <phoneticPr fontId="3" type="noConversion"/>
  </si>
  <si>
    <t>경기 북부</t>
    <phoneticPr fontId="3" type="noConversion"/>
  </si>
  <si>
    <t>최미연</t>
    <phoneticPr fontId="3" type="noConversion"/>
  </si>
  <si>
    <t>서울 강동</t>
    <phoneticPr fontId="3" type="noConversion"/>
  </si>
  <si>
    <t>주선희</t>
    <phoneticPr fontId="3" type="noConversion"/>
  </si>
  <si>
    <t>박명숙</t>
    <phoneticPr fontId="3" type="noConversion"/>
  </si>
  <si>
    <t>인천</t>
    <phoneticPr fontId="3" type="noConversion"/>
  </si>
  <si>
    <t>화재보험</t>
    <phoneticPr fontId="3" type="noConversion"/>
  </si>
  <si>
    <t>평균</t>
    <phoneticPr fontId="3" type="noConversion"/>
  </si>
  <si>
    <t>주5일제에 따른 주말 여가 변화</t>
    <phoneticPr fontId="3" type="noConversion"/>
  </si>
  <si>
    <t>번호</t>
    <phoneticPr fontId="3" type="noConversion"/>
  </si>
  <si>
    <t>여가형태</t>
    <phoneticPr fontId="3" type="noConversion"/>
  </si>
  <si>
    <t>5일제 前</t>
    <phoneticPr fontId="3" type="noConversion"/>
  </si>
  <si>
    <t>5일제 後</t>
    <phoneticPr fontId="3" type="noConversion"/>
  </si>
  <si>
    <t>TV시청</t>
    <phoneticPr fontId="3" type="noConversion"/>
  </si>
  <si>
    <t>여행</t>
    <phoneticPr fontId="3" type="noConversion"/>
  </si>
  <si>
    <t>등산</t>
    <phoneticPr fontId="3" type="noConversion"/>
  </si>
  <si>
    <t>컴퓨터게임</t>
    <phoneticPr fontId="3" type="noConversion"/>
  </si>
  <si>
    <t>레포츠</t>
    <phoneticPr fontId="3" type="noConversion"/>
  </si>
  <si>
    <t>독서</t>
    <phoneticPr fontId="3" type="noConversion"/>
  </si>
  <si>
    <t>자기개발</t>
    <phoneticPr fontId="3" type="noConversion"/>
  </si>
  <si>
    <t>영화(연극)</t>
    <phoneticPr fontId="3" type="noConversion"/>
  </si>
  <si>
    <t>제품명</t>
  </si>
  <si>
    <t>복지부 분류</t>
  </si>
  <si>
    <t>성분/함량</t>
  </si>
  <si>
    <t>제약수입사</t>
  </si>
  <si>
    <t>제형</t>
  </si>
  <si>
    <t>보험</t>
  </si>
  <si>
    <t>키도라제정</t>
  </si>
  <si>
    <t>효소제제</t>
  </si>
  <si>
    <t>Streptokinase 10mg</t>
  </si>
  <si>
    <t>한국휴텍스제약</t>
  </si>
  <si>
    <t>정제</t>
  </si>
  <si>
    <t>70원/1정</t>
  </si>
  <si>
    <t>세파질건조시럽</t>
  </si>
  <si>
    <t>그람양성, 음성균에 작용</t>
  </si>
  <si>
    <t>Cefprozip 25mg/mL</t>
  </si>
  <si>
    <t>한국콜마</t>
  </si>
  <si>
    <t>건조시럽</t>
  </si>
  <si>
    <t>89원/1ml</t>
  </si>
  <si>
    <t>슈다페드정</t>
  </si>
  <si>
    <t>진해건담제</t>
  </si>
  <si>
    <t>Pseudoephedrine HCI 60mg</t>
  </si>
  <si>
    <t>삼일제약</t>
  </si>
  <si>
    <t>23원/1정</t>
  </si>
  <si>
    <t>푸라콩정</t>
  </si>
  <si>
    <t>항히스타민제</t>
  </si>
  <si>
    <t>Piprinhydrinate 3mg</t>
  </si>
  <si>
    <t>영진약품공업</t>
  </si>
  <si>
    <t>10원/1정</t>
  </si>
  <si>
    <t>리나치올시럽5%</t>
  </si>
  <si>
    <t>L-Carbocysteine 50mg/mL</t>
  </si>
  <si>
    <t>현대약품</t>
  </si>
  <si>
    <t>시럽제</t>
  </si>
  <si>
    <t>17원/1ml</t>
  </si>
  <si>
    <t>싱글레어츄정5mg</t>
  </si>
  <si>
    <t>알레르기용약</t>
  </si>
  <si>
    <t>Montelukast Sodium 5.2mg</t>
  </si>
  <si>
    <t>한국엠에스디</t>
  </si>
  <si>
    <t>저작정(츄어블정)</t>
  </si>
  <si>
    <t>774원/1정</t>
  </si>
  <si>
    <t>움카민 시럽</t>
  </si>
  <si>
    <t>호흡기관용약</t>
  </si>
  <si>
    <t>Pelargonium Sidoides 11%</t>
  </si>
  <si>
    <t>한화제약</t>
  </si>
  <si>
    <t>28원/1ml</t>
  </si>
  <si>
    <t>하이크라듀오시럽</t>
  </si>
  <si>
    <t>Amoxicillin Sodium 40mg</t>
  </si>
  <si>
    <t>81원/1ml</t>
  </si>
  <si>
    <t>뮤테란과립200mg</t>
  </si>
  <si>
    <t>Acetylcysteine 200mg</t>
  </si>
  <si>
    <t>과립</t>
  </si>
  <si>
    <t>118원/1g</t>
  </si>
  <si>
    <t>여</t>
    <phoneticPr fontId="1" type="noConversion"/>
  </si>
  <si>
    <t>&gt;=160</t>
    <phoneticPr fontId="1" type="noConversion"/>
  </si>
  <si>
    <t>판매가</t>
  </si>
  <si>
    <t>판매량</t>
  </si>
  <si>
    <t>순이익총액</t>
  </si>
  <si>
    <t>판매가판매량증가</t>
  </si>
  <si>
    <t>만든 사람 user 날짜 2023-08-31</t>
  </si>
  <si>
    <t>판매가판매량감소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</si>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</sst>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0_ "/>
    <numFmt numFmtId="177" formatCode="#,##0_);[Red]\(#,##0\)"/>
    <numFmt numFmtId="178" formatCode="#,##0_ "/>
    <numFmt numFmtId="180" formatCode="@&quot;@korcham.net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HY중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176" fontId="5" fillId="0" borderId="1" xfId="0" applyNumberFormat="1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17" fontId="0" fillId="0" borderId="1" xfId="0" applyNumberForma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7" fontId="0" fillId="0" borderId="1" xfId="0" applyNumberFormat="1" applyBorder="1" applyAlignment="1">
      <alignment horizontal="right" vertical="center"/>
    </xf>
    <xf numFmtId="178" fontId="0" fillId="0" borderId="1" xfId="0" applyNumberFormat="1" applyBorder="1" applyAlignment="1">
      <alignment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77" fontId="0" fillId="0" borderId="1" xfId="0" applyNumberForma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1" xfId="2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80" fontId="0" fillId="0" borderId="1" xfId="0" applyNumberFormat="1" applyBorder="1" applyAlignment="1">
      <alignment vertical="center"/>
    </xf>
    <xf numFmtId="41" fontId="0" fillId="0" borderId="1" xfId="1" applyNumberFormat="1" applyFont="1" applyBorder="1" applyAlignment="1">
      <alignment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13" fillId="5" borderId="9" xfId="0" applyFont="1" applyFill="1" applyBorder="1" applyAlignment="1">
      <alignment horizontal="left" vertical="center"/>
    </xf>
    <xf numFmtId="0" fontId="12" fillId="5" borderId="7" xfId="0" applyFont="1" applyFill="1" applyBorder="1" applyAlignment="1">
      <alignment horizontal="left" vertical="center"/>
    </xf>
    <xf numFmtId="0" fontId="13" fillId="5" borderId="7" xfId="0" applyFont="1" applyFill="1" applyBorder="1" applyAlignment="1">
      <alignment horizontal="left" vertical="center"/>
    </xf>
    <xf numFmtId="0" fontId="0" fillId="0" borderId="10" xfId="0" applyFill="1" applyBorder="1" applyAlignment="1">
      <alignment vertical="center"/>
    </xf>
    <xf numFmtId="0" fontId="14" fillId="6" borderId="0" xfId="0" applyFont="1" applyFill="1" applyBorder="1" applyAlignment="1">
      <alignment horizontal="left" vertical="center"/>
    </xf>
    <xf numFmtId="0" fontId="15" fillId="6" borderId="10" xfId="0" applyFont="1" applyFill="1" applyBorder="1" applyAlignment="1">
      <alignment horizontal="left" vertical="center"/>
    </xf>
    <xf numFmtId="0" fontId="16" fillId="6" borderId="10" xfId="0" applyFont="1" applyFill="1" applyBorder="1" applyAlignment="1">
      <alignment horizontal="left" vertical="center"/>
    </xf>
    <xf numFmtId="0" fontId="14" fillId="6" borderId="8" xfId="0" applyFont="1" applyFill="1" applyBorder="1" applyAlignment="1">
      <alignment horizontal="left" vertical="center"/>
    </xf>
    <xf numFmtId="0" fontId="12" fillId="5" borderId="7" xfId="0" applyFont="1" applyFill="1" applyBorder="1" applyAlignment="1">
      <alignment horizontal="right" vertical="center"/>
    </xf>
    <xf numFmtId="0" fontId="12" fillId="5" borderId="9" xfId="0" applyFont="1" applyFill="1" applyBorder="1" applyAlignment="1">
      <alignment horizontal="right" vertical="center"/>
    </xf>
    <xf numFmtId="41" fontId="0" fillId="7" borderId="0" xfId="0" applyNumberFormat="1" applyFill="1" applyBorder="1" applyAlignment="1">
      <alignment vertical="center"/>
    </xf>
    <xf numFmtId="0" fontId="17" fillId="0" borderId="0" xfId="0" applyFont="1" applyFill="1" applyBorder="1" applyAlignment="1">
      <alignment vertical="top" wrapText="1"/>
    </xf>
    <xf numFmtId="0" fontId="10" fillId="4" borderId="1" xfId="3" applyBorder="1" applyAlignment="1">
      <alignment horizontal="center" vertical="center"/>
    </xf>
  </cellXfs>
  <cellStyles count="4">
    <cellStyle name="강조색6" xfId="3" builtinId="49"/>
    <cellStyle name="쉼표 [0]" xfId="1" builtinId="6"/>
    <cellStyle name="제목 4" xfId="2" builtinId="1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2000"/>
              <a:t>주말 여가 변화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5일제 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차트작업!$C$4:$C$11</c:f>
              <c:numCache>
                <c:formatCode>#,##0_);[Red]\(#,##0\)</c:formatCode>
                <c:ptCount val="8"/>
                <c:pt idx="0">
                  <c:v>3693</c:v>
                </c:pt>
                <c:pt idx="1">
                  <c:v>192</c:v>
                </c:pt>
                <c:pt idx="2">
                  <c:v>428</c:v>
                </c:pt>
                <c:pt idx="3">
                  <c:v>1012</c:v>
                </c:pt>
                <c:pt idx="4">
                  <c:v>229</c:v>
                </c:pt>
                <c:pt idx="5">
                  <c:v>473</c:v>
                </c:pt>
                <c:pt idx="6">
                  <c:v>68</c:v>
                </c:pt>
                <c:pt idx="7">
                  <c:v>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8-46B9-AEB3-12DC6847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8804191"/>
        <c:axId val="34788199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차트작업!$A$3</c15:sqref>
                        </c15:formulaRef>
                      </c:ext>
                    </c:extLst>
                    <c:strCache>
                      <c:ptCount val="1"/>
                      <c:pt idx="0">
                        <c:v>번호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차트작업!$A$4:$A$11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948-46B9-AEB3-12DC6847447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5일제 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차트작업!$D$4:$D$11</c:f>
              <c:numCache>
                <c:formatCode>#,##0_);[Red]\(#,##0\)</c:formatCode>
                <c:ptCount val="8"/>
                <c:pt idx="0" formatCode="#,##0_ ">
                  <c:v>2037</c:v>
                </c:pt>
                <c:pt idx="1">
                  <c:v>368</c:v>
                </c:pt>
                <c:pt idx="2">
                  <c:v>192</c:v>
                </c:pt>
                <c:pt idx="3">
                  <c:v>1280</c:v>
                </c:pt>
                <c:pt idx="4">
                  <c:v>947</c:v>
                </c:pt>
                <c:pt idx="5">
                  <c:v>284</c:v>
                </c:pt>
                <c:pt idx="6">
                  <c:v>1038</c:v>
                </c:pt>
                <c:pt idx="7">
                  <c:v>1705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48-46B9-AEB3-12DC6847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804191"/>
        <c:axId val="347881999"/>
      </c:lineChart>
      <c:catAx>
        <c:axId val="2688041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7881999"/>
        <c:crosses val="autoZero"/>
        <c:auto val="1"/>
        <c:lblAlgn val="ctr"/>
        <c:lblOffset val="100"/>
        <c:noMultiLvlLbl val="0"/>
      </c:catAx>
      <c:valAx>
        <c:axId val="34788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880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13</xdr:row>
      <xdr:rowOff>19050</xdr:rowOff>
    </xdr:from>
    <xdr:to>
      <xdr:col>2</xdr:col>
      <xdr:colOff>819150</xdr:colOff>
      <xdr:row>14</xdr:row>
      <xdr:rowOff>200025</xdr:rowOff>
    </xdr:to>
    <xdr:sp macro="[0]!평균" textlink="">
      <xdr:nvSpPr>
        <xdr:cNvPr id="2" name="타원 1"/>
        <xdr:cNvSpPr/>
      </xdr:nvSpPr>
      <xdr:spPr>
        <a:xfrm>
          <a:off x="704850" y="2743200"/>
          <a:ext cx="1666875" cy="390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4</xdr:col>
      <xdr:colOff>28575</xdr:colOff>
      <xdr:row>13</xdr:row>
      <xdr:rowOff>9525</xdr:rowOff>
    </xdr:from>
    <xdr:to>
      <xdr:col>5</xdr:col>
      <xdr:colOff>723900</xdr:colOff>
      <xdr:row>14</xdr:row>
      <xdr:rowOff>200025</xdr:rowOff>
    </xdr:to>
    <xdr:sp macro="[0]!서식" textlink="">
      <xdr:nvSpPr>
        <xdr:cNvPr id="3" name="타원 2"/>
        <xdr:cNvSpPr/>
      </xdr:nvSpPr>
      <xdr:spPr>
        <a:xfrm>
          <a:off x="3171825" y="2733675"/>
          <a:ext cx="1447800" cy="400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E21" sqref="E21"/>
    </sheetView>
  </sheetViews>
  <sheetFormatPr defaultRowHeight="16.5"/>
  <cols>
    <col min="1" max="1" width="17.375" bestFit="1" customWidth="1"/>
    <col min="2" max="2" width="23.125" bestFit="1" customWidth="1"/>
    <col min="3" max="3" width="27.25" bestFit="1" customWidth="1"/>
    <col min="4" max="4" width="15.125" bestFit="1" customWidth="1"/>
    <col min="5" max="5" width="16.5" bestFit="1" customWidth="1"/>
    <col min="6" max="6" width="10" bestFit="1" customWidth="1"/>
  </cols>
  <sheetData>
    <row r="1" spans="1:6">
      <c r="A1" s="1" t="s">
        <v>0</v>
      </c>
    </row>
    <row r="3" spans="1:6">
      <c r="A3" t="s">
        <v>311</v>
      </c>
      <c r="B3" t="s">
        <v>312</v>
      </c>
      <c r="C3" t="s">
        <v>313</v>
      </c>
      <c r="D3" t="s">
        <v>314</v>
      </c>
      <c r="E3" t="s">
        <v>315</v>
      </c>
      <c r="F3" t="s">
        <v>316</v>
      </c>
    </row>
    <row r="4" spans="1:6">
      <c r="A4" t="s">
        <v>317</v>
      </c>
      <c r="B4" t="s">
        <v>318</v>
      </c>
      <c r="C4" t="s">
        <v>319</v>
      </c>
      <c r="D4" t="s">
        <v>320</v>
      </c>
      <c r="E4" t="s">
        <v>321</v>
      </c>
      <c r="F4" t="s">
        <v>322</v>
      </c>
    </row>
    <row r="5" spans="1:6">
      <c r="A5" t="s">
        <v>323</v>
      </c>
      <c r="B5" t="s">
        <v>324</v>
      </c>
      <c r="C5" t="s">
        <v>325</v>
      </c>
      <c r="D5" t="s">
        <v>326</v>
      </c>
      <c r="E5" t="s">
        <v>327</v>
      </c>
      <c r="F5" t="s">
        <v>328</v>
      </c>
    </row>
    <row r="6" spans="1:6">
      <c r="A6" t="s">
        <v>329</v>
      </c>
      <c r="B6" t="s">
        <v>330</v>
      </c>
      <c r="C6" t="s">
        <v>331</v>
      </c>
      <c r="D6" t="s">
        <v>332</v>
      </c>
      <c r="E6" t="s">
        <v>321</v>
      </c>
      <c r="F6" t="s">
        <v>333</v>
      </c>
    </row>
    <row r="7" spans="1:6">
      <c r="A7" t="s">
        <v>334</v>
      </c>
      <c r="B7" t="s">
        <v>335</v>
      </c>
      <c r="C7" t="s">
        <v>336</v>
      </c>
      <c r="D7" t="s">
        <v>337</v>
      </c>
      <c r="E7" t="s">
        <v>321</v>
      </c>
      <c r="F7" t="s">
        <v>338</v>
      </c>
    </row>
    <row r="8" spans="1:6">
      <c r="A8" t="s">
        <v>339</v>
      </c>
      <c r="B8" t="s">
        <v>330</v>
      </c>
      <c r="C8" t="s">
        <v>340</v>
      </c>
      <c r="D8" t="s">
        <v>341</v>
      </c>
      <c r="E8" t="s">
        <v>342</v>
      </c>
      <c r="F8" t="s">
        <v>343</v>
      </c>
    </row>
    <row r="9" spans="1:6">
      <c r="A9" t="s">
        <v>344</v>
      </c>
      <c r="B9" t="s">
        <v>345</v>
      </c>
      <c r="C9" t="s">
        <v>346</v>
      </c>
      <c r="D9" t="s">
        <v>347</v>
      </c>
      <c r="E9" t="s">
        <v>348</v>
      </c>
      <c r="F9" t="s">
        <v>349</v>
      </c>
    </row>
    <row r="10" spans="1:6">
      <c r="A10" t="s">
        <v>350</v>
      </c>
      <c r="B10" t="s">
        <v>351</v>
      </c>
      <c r="C10" t="s">
        <v>352</v>
      </c>
      <c r="D10" t="s">
        <v>353</v>
      </c>
      <c r="E10" t="s">
        <v>342</v>
      </c>
      <c r="F10" t="s">
        <v>354</v>
      </c>
    </row>
    <row r="11" spans="1:6">
      <c r="A11" t="s">
        <v>355</v>
      </c>
      <c r="B11" t="s">
        <v>324</v>
      </c>
      <c r="C11" t="s">
        <v>356</v>
      </c>
      <c r="D11" t="s">
        <v>320</v>
      </c>
      <c r="E11" t="s">
        <v>327</v>
      </c>
      <c r="F11" t="s">
        <v>357</v>
      </c>
    </row>
    <row r="12" spans="1:6">
      <c r="A12" t="s">
        <v>358</v>
      </c>
      <c r="B12" t="s">
        <v>330</v>
      </c>
      <c r="C12" t="s">
        <v>359</v>
      </c>
      <c r="D12" t="s">
        <v>353</v>
      </c>
      <c r="E12" t="s">
        <v>360</v>
      </c>
      <c r="F12" t="s">
        <v>361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workbookViewId="0">
      <selection activeCell="E31" sqref="E31"/>
    </sheetView>
  </sheetViews>
  <sheetFormatPr defaultRowHeight="16.5"/>
  <cols>
    <col min="3" max="3" width="10.125" customWidth="1"/>
    <col min="4" max="4" width="12.875" customWidth="1"/>
    <col min="6" max="6" width="16.375" customWidth="1"/>
    <col min="8" max="8" width="20.75" bestFit="1" customWidth="1"/>
    <col min="9" max="9" width="13.375" customWidth="1"/>
  </cols>
  <sheetData>
    <row r="1" spans="1:15" ht="27.95" customHeight="1">
      <c r="A1" s="43" t="s">
        <v>1</v>
      </c>
      <c r="B1" s="43"/>
      <c r="C1" s="43"/>
      <c r="D1" s="43"/>
      <c r="E1" s="43"/>
      <c r="F1" s="43"/>
      <c r="G1" s="43"/>
      <c r="H1" s="43"/>
      <c r="I1" s="43"/>
      <c r="J1" s="1"/>
      <c r="K1" s="1"/>
      <c r="L1" s="1"/>
      <c r="M1" s="1"/>
      <c r="N1" s="1"/>
      <c r="O1" s="1"/>
    </row>
    <row r="2" spans="1: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>
      <c r="A3" s="44" t="s">
        <v>2</v>
      </c>
      <c r="B3" s="44" t="s">
        <v>3</v>
      </c>
      <c r="C3" s="44" t="s">
        <v>4</v>
      </c>
      <c r="D3" s="44" t="s">
        <v>5</v>
      </c>
      <c r="E3" s="44" t="s">
        <v>6</v>
      </c>
      <c r="F3" s="44" t="s">
        <v>7</v>
      </c>
      <c r="G3" s="44" t="s">
        <v>8</v>
      </c>
      <c r="H3" s="44" t="s">
        <v>9</v>
      </c>
      <c r="I3" s="44" t="s">
        <v>10</v>
      </c>
      <c r="J3" s="1"/>
      <c r="K3" s="1"/>
      <c r="L3" s="1"/>
      <c r="M3" s="1"/>
      <c r="N3" s="1"/>
      <c r="O3" s="1"/>
    </row>
    <row r="4" spans="1:15">
      <c r="A4" s="24" t="s">
        <v>11</v>
      </c>
      <c r="B4" s="24" t="s">
        <v>12</v>
      </c>
      <c r="C4" s="24" t="s">
        <v>13</v>
      </c>
      <c r="D4" s="45">
        <v>36775</v>
      </c>
      <c r="E4" s="24" t="s">
        <v>14</v>
      </c>
      <c r="F4" s="24" t="s">
        <v>15</v>
      </c>
      <c r="G4" s="24" t="s">
        <v>16</v>
      </c>
      <c r="H4" s="47" t="s">
        <v>17</v>
      </c>
      <c r="I4" s="24">
        <v>180000</v>
      </c>
      <c r="J4" s="1"/>
      <c r="K4" s="1"/>
      <c r="L4" s="1"/>
      <c r="M4" s="1"/>
      <c r="N4" s="1"/>
      <c r="O4" s="1"/>
    </row>
    <row r="5" spans="1:15">
      <c r="A5" s="24" t="s">
        <v>18</v>
      </c>
      <c r="B5" s="24" t="s">
        <v>19</v>
      </c>
      <c r="C5" s="24" t="s">
        <v>20</v>
      </c>
      <c r="D5" s="45">
        <v>36778</v>
      </c>
      <c r="E5" s="24" t="s">
        <v>21</v>
      </c>
      <c r="F5" s="24" t="s">
        <v>22</v>
      </c>
      <c r="G5" s="24" t="s">
        <v>23</v>
      </c>
      <c r="H5" s="47" t="s">
        <v>24</v>
      </c>
      <c r="I5" s="24">
        <v>170000</v>
      </c>
      <c r="J5" s="1"/>
      <c r="K5" s="1"/>
      <c r="L5" s="1"/>
      <c r="M5" s="1"/>
      <c r="N5" s="1"/>
      <c r="O5" s="1"/>
    </row>
    <row r="6" spans="1:15">
      <c r="A6" s="24" t="s">
        <v>25</v>
      </c>
      <c r="B6" s="24" t="s">
        <v>26</v>
      </c>
      <c r="C6" s="24" t="s">
        <v>27</v>
      </c>
      <c r="D6" s="45">
        <v>36952</v>
      </c>
      <c r="E6" s="24" t="s">
        <v>28</v>
      </c>
      <c r="F6" s="24" t="s">
        <v>29</v>
      </c>
      <c r="G6" s="24" t="s">
        <v>30</v>
      </c>
      <c r="H6" s="47" t="s">
        <v>31</v>
      </c>
      <c r="I6" s="24">
        <v>120000</v>
      </c>
      <c r="J6" s="1"/>
      <c r="K6" s="1"/>
      <c r="L6" s="1"/>
      <c r="M6" s="1"/>
      <c r="N6" s="1"/>
      <c r="O6" s="1"/>
    </row>
    <row r="7" spans="1:15">
      <c r="A7" s="24" t="s">
        <v>32</v>
      </c>
      <c r="B7" s="24" t="s">
        <v>33</v>
      </c>
      <c r="C7" s="24" t="s">
        <v>34</v>
      </c>
      <c r="D7" s="45">
        <v>36965</v>
      </c>
      <c r="E7" s="24" t="s">
        <v>35</v>
      </c>
      <c r="F7" s="24" t="s">
        <v>36</v>
      </c>
      <c r="G7" s="24" t="s">
        <v>37</v>
      </c>
      <c r="H7" s="47" t="s">
        <v>38</v>
      </c>
      <c r="I7" s="24">
        <v>150000</v>
      </c>
      <c r="J7" s="1"/>
      <c r="K7" s="1"/>
      <c r="L7" s="1"/>
      <c r="M7" s="1"/>
      <c r="N7" s="1"/>
      <c r="O7" s="1"/>
    </row>
    <row r="8" spans="1:15">
      <c r="A8" s="24" t="s">
        <v>39</v>
      </c>
      <c r="B8" s="24" t="s">
        <v>40</v>
      </c>
      <c r="C8" s="24" t="s">
        <v>13</v>
      </c>
      <c r="D8" s="45">
        <v>36967</v>
      </c>
      <c r="E8" s="24" t="s">
        <v>41</v>
      </c>
      <c r="F8" s="24" t="s">
        <v>42</v>
      </c>
      <c r="G8" s="24" t="s">
        <v>16</v>
      </c>
      <c r="H8" s="47" t="s">
        <v>43</v>
      </c>
      <c r="I8" s="24">
        <v>140000</v>
      </c>
      <c r="J8" s="1"/>
      <c r="K8" s="1"/>
      <c r="L8" s="1"/>
      <c r="M8" s="1"/>
      <c r="N8" s="1"/>
      <c r="O8" s="1"/>
    </row>
    <row r="9" spans="1:15">
      <c r="A9" s="24" t="s">
        <v>44</v>
      </c>
      <c r="B9" s="24" t="s">
        <v>45</v>
      </c>
      <c r="C9" s="24" t="s">
        <v>46</v>
      </c>
      <c r="D9" s="45">
        <v>37134</v>
      </c>
      <c r="E9" s="24" t="s">
        <v>47</v>
      </c>
      <c r="F9" s="24" t="s">
        <v>48</v>
      </c>
      <c r="G9" s="24" t="s">
        <v>49</v>
      </c>
      <c r="H9" s="47" t="s">
        <v>50</v>
      </c>
      <c r="I9" s="24">
        <v>130000</v>
      </c>
      <c r="J9" s="1"/>
      <c r="K9" s="1"/>
      <c r="L9" s="1"/>
      <c r="M9" s="1"/>
      <c r="N9" s="1"/>
      <c r="O9" s="1"/>
    </row>
    <row r="10" spans="1:15">
      <c r="A10" s="24" t="s">
        <v>51</v>
      </c>
      <c r="B10" s="24" t="s">
        <v>52</v>
      </c>
      <c r="C10" s="24" t="s">
        <v>53</v>
      </c>
      <c r="D10" s="45">
        <v>37366</v>
      </c>
      <c r="E10" s="24" t="s">
        <v>54</v>
      </c>
      <c r="F10" s="24" t="s">
        <v>55</v>
      </c>
      <c r="G10" s="24" t="s">
        <v>37</v>
      </c>
      <c r="H10" s="47" t="s">
        <v>56</v>
      </c>
      <c r="I10" s="24">
        <v>110000</v>
      </c>
      <c r="J10" s="1"/>
      <c r="K10" s="1"/>
      <c r="L10" s="1"/>
      <c r="M10" s="1"/>
      <c r="N10" s="1"/>
      <c r="O10" s="1"/>
    </row>
    <row r="11" spans="1:15">
      <c r="A11" s="24" t="s">
        <v>57</v>
      </c>
      <c r="B11" s="24" t="s">
        <v>58</v>
      </c>
      <c r="C11" s="24" t="s">
        <v>59</v>
      </c>
      <c r="D11" s="45">
        <v>37407</v>
      </c>
      <c r="E11" s="24" t="s">
        <v>60</v>
      </c>
      <c r="F11" s="24" t="s">
        <v>61</v>
      </c>
      <c r="G11" s="24" t="s">
        <v>30</v>
      </c>
      <c r="H11" s="47" t="s">
        <v>62</v>
      </c>
      <c r="I11" s="24">
        <v>90000</v>
      </c>
      <c r="J11" s="1"/>
      <c r="K11" s="1"/>
      <c r="L11" s="1"/>
      <c r="M11" s="1"/>
      <c r="N11" s="1"/>
      <c r="O11" s="1"/>
    </row>
    <row r="12" spans="1:15">
      <c r="A12" s="24" t="s">
        <v>63</v>
      </c>
      <c r="B12" s="24" t="s">
        <v>64</v>
      </c>
      <c r="C12" s="24" t="s">
        <v>65</v>
      </c>
      <c r="D12" s="45">
        <v>37441</v>
      </c>
      <c r="E12" s="24" t="s">
        <v>66</v>
      </c>
      <c r="F12" s="24" t="s">
        <v>67</v>
      </c>
      <c r="G12" s="24" t="s">
        <v>68</v>
      </c>
      <c r="H12" s="47" t="s">
        <v>69</v>
      </c>
      <c r="I12" s="24">
        <v>10000</v>
      </c>
      <c r="J12" s="1"/>
      <c r="K12" s="1"/>
      <c r="L12" s="1"/>
      <c r="M12" s="1"/>
      <c r="N12" s="1"/>
      <c r="O12" s="1"/>
    </row>
    <row r="13" spans="1:15">
      <c r="A13" s="24" t="s">
        <v>70</v>
      </c>
      <c r="B13" s="24" t="s">
        <v>71</v>
      </c>
      <c r="C13" s="24" t="s">
        <v>20</v>
      </c>
      <c r="D13" s="45">
        <v>37445</v>
      </c>
      <c r="E13" s="24" t="s">
        <v>72</v>
      </c>
      <c r="F13" s="24" t="s">
        <v>73</v>
      </c>
      <c r="G13" s="24" t="s">
        <v>74</v>
      </c>
      <c r="H13" s="47" t="s">
        <v>75</v>
      </c>
      <c r="I13" s="24">
        <v>100000</v>
      </c>
      <c r="J13" s="1"/>
      <c r="K13" s="1"/>
      <c r="L13" s="1"/>
      <c r="M13" s="1"/>
      <c r="N13" s="1"/>
      <c r="O13" s="1"/>
    </row>
    <row r="14" spans="1: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J27" sqref="J27"/>
    </sheetView>
  </sheetViews>
  <sheetFormatPr defaultRowHeight="16.5"/>
  <sheetData>
    <row r="1" spans="1:7">
      <c r="A1" s="31" t="s">
        <v>76</v>
      </c>
      <c r="B1" s="31"/>
      <c r="C1" s="31"/>
      <c r="D1" s="31"/>
      <c r="E1" s="31"/>
      <c r="F1" s="31"/>
      <c r="G1" s="31"/>
    </row>
    <row r="2" spans="1:7">
      <c r="A2" s="2"/>
      <c r="B2" s="2"/>
      <c r="C2" s="2"/>
      <c r="D2" s="2"/>
      <c r="E2" s="2"/>
      <c r="F2" s="2"/>
      <c r="G2" s="2"/>
    </row>
    <row r="3" spans="1:7">
      <c r="A3" s="3" t="s">
        <v>2</v>
      </c>
      <c r="B3" s="3" t="s">
        <v>77</v>
      </c>
      <c r="C3" s="3" t="s">
        <v>78</v>
      </c>
      <c r="D3" s="3" t="s">
        <v>79</v>
      </c>
      <c r="E3" s="3" t="s">
        <v>80</v>
      </c>
      <c r="F3" s="3" t="s">
        <v>81</v>
      </c>
      <c r="G3" s="3" t="s">
        <v>82</v>
      </c>
    </row>
    <row r="4" spans="1:7">
      <c r="A4" s="3" t="s">
        <v>83</v>
      </c>
      <c r="B4" s="3" t="s">
        <v>84</v>
      </c>
      <c r="C4" s="3">
        <v>30</v>
      </c>
      <c r="D4" s="4">
        <v>70</v>
      </c>
      <c r="E4" s="4">
        <v>160</v>
      </c>
      <c r="F4" s="4">
        <v>135</v>
      </c>
      <c r="G4" s="5">
        <v>27.34375</v>
      </c>
    </row>
    <row r="5" spans="1:7">
      <c r="A5" s="3" t="s">
        <v>85</v>
      </c>
      <c r="B5" s="3" t="s">
        <v>84</v>
      </c>
      <c r="C5" s="3">
        <v>40</v>
      </c>
      <c r="D5" s="4">
        <v>70</v>
      </c>
      <c r="E5" s="4">
        <v>153</v>
      </c>
      <c r="F5" s="4">
        <v>155</v>
      </c>
      <c r="G5" s="5">
        <v>29.903028749626213</v>
      </c>
    </row>
    <row r="6" spans="1:7">
      <c r="A6" s="3" t="s">
        <v>86</v>
      </c>
      <c r="B6" s="3" t="s">
        <v>84</v>
      </c>
      <c r="C6" s="3">
        <v>30</v>
      </c>
      <c r="D6" s="4">
        <v>60</v>
      </c>
      <c r="E6" s="4">
        <v>163</v>
      </c>
      <c r="F6" s="4">
        <v>126</v>
      </c>
      <c r="G6" s="5">
        <v>22.582709172343712</v>
      </c>
    </row>
    <row r="7" spans="1:7">
      <c r="A7" s="3" t="s">
        <v>87</v>
      </c>
      <c r="B7" s="3" t="s">
        <v>88</v>
      </c>
      <c r="C7" s="3">
        <v>30</v>
      </c>
      <c r="D7" s="4">
        <v>63</v>
      </c>
      <c r="E7" s="4">
        <v>174</v>
      </c>
      <c r="F7" s="4">
        <v>129</v>
      </c>
      <c r="G7" s="5">
        <v>20.808561236623067</v>
      </c>
    </row>
    <row r="8" spans="1:7">
      <c r="A8" s="3" t="s">
        <v>89</v>
      </c>
      <c r="B8" s="3" t="s">
        <v>88</v>
      </c>
      <c r="C8" s="3">
        <v>40</v>
      </c>
      <c r="D8" s="4">
        <v>58</v>
      </c>
      <c r="E8" s="4">
        <v>152</v>
      </c>
      <c r="F8" s="4">
        <v>135</v>
      </c>
      <c r="G8" s="5">
        <v>25.103878116343491</v>
      </c>
    </row>
    <row r="9" spans="1:7">
      <c r="A9" s="3" t="s">
        <v>90</v>
      </c>
      <c r="B9" s="3" t="s">
        <v>88</v>
      </c>
      <c r="C9" s="3">
        <v>40</v>
      </c>
      <c r="D9" s="4">
        <v>82</v>
      </c>
      <c r="E9" s="4">
        <v>167</v>
      </c>
      <c r="F9" s="4">
        <v>141</v>
      </c>
      <c r="G9" s="5">
        <v>29.402273297715947</v>
      </c>
    </row>
    <row r="10" spans="1:7">
      <c r="A10" s="3" t="s">
        <v>91</v>
      </c>
      <c r="B10" s="3" t="s">
        <v>88</v>
      </c>
      <c r="C10" s="3">
        <v>40</v>
      </c>
      <c r="D10" s="4">
        <v>65</v>
      </c>
      <c r="E10" s="4">
        <v>174</v>
      </c>
      <c r="F10" s="4">
        <v>142</v>
      </c>
      <c r="G10" s="5">
        <v>21.469150482230148</v>
      </c>
    </row>
    <row r="11" spans="1:7">
      <c r="A11" s="3" t="s">
        <v>92</v>
      </c>
      <c r="B11" s="3" t="s">
        <v>93</v>
      </c>
      <c r="C11" s="3">
        <v>40</v>
      </c>
      <c r="D11" s="4">
        <v>75</v>
      </c>
      <c r="E11" s="4">
        <v>180</v>
      </c>
      <c r="F11" s="4">
        <v>120</v>
      </c>
      <c r="G11" s="5">
        <v>23.148148148148145</v>
      </c>
    </row>
    <row r="12" spans="1:7">
      <c r="A12" s="3" t="s">
        <v>94</v>
      </c>
      <c r="B12" s="3" t="s">
        <v>93</v>
      </c>
      <c r="C12" s="3">
        <v>30</v>
      </c>
      <c r="D12" s="4">
        <v>65</v>
      </c>
      <c r="E12" s="4">
        <v>165</v>
      </c>
      <c r="F12" s="4">
        <v>125</v>
      </c>
      <c r="G12" s="5">
        <v>23.875114784205696</v>
      </c>
    </row>
    <row r="13" spans="1:7">
      <c r="A13" s="3" t="s">
        <v>95</v>
      </c>
      <c r="B13" s="3" t="s">
        <v>84</v>
      </c>
      <c r="C13" s="3">
        <v>40</v>
      </c>
      <c r="D13" s="4">
        <v>65</v>
      </c>
      <c r="E13" s="4">
        <v>155</v>
      </c>
      <c r="F13" s="4">
        <v>150</v>
      </c>
      <c r="G13" s="5">
        <v>27.055150884495315</v>
      </c>
    </row>
    <row r="14" spans="1:7">
      <c r="A14" s="3" t="s">
        <v>96</v>
      </c>
      <c r="B14" s="3" t="s">
        <v>97</v>
      </c>
      <c r="C14" s="3">
        <v>30</v>
      </c>
      <c r="D14" s="4">
        <v>85</v>
      </c>
      <c r="E14" s="4">
        <v>170</v>
      </c>
      <c r="F14" s="4">
        <v>136</v>
      </c>
      <c r="G14" s="5">
        <v>29.411764705882355</v>
      </c>
    </row>
    <row r="15" spans="1:7">
      <c r="A15" s="3" t="s">
        <v>98</v>
      </c>
      <c r="B15" s="3" t="s">
        <v>84</v>
      </c>
      <c r="C15" s="3">
        <v>40</v>
      </c>
      <c r="D15" s="4">
        <v>70</v>
      </c>
      <c r="E15" s="4">
        <v>158</v>
      </c>
      <c r="F15" s="4">
        <v>124</v>
      </c>
      <c r="G15" s="5">
        <v>28.040378144528116</v>
      </c>
    </row>
    <row r="16" spans="1:7">
      <c r="A16" s="3" t="s">
        <v>99</v>
      </c>
      <c r="B16" s="3" t="s">
        <v>84</v>
      </c>
      <c r="C16" s="3">
        <v>40</v>
      </c>
      <c r="D16" s="4">
        <v>73</v>
      </c>
      <c r="E16" s="4">
        <v>161</v>
      </c>
      <c r="F16" s="4">
        <v>136</v>
      </c>
      <c r="G16" s="5">
        <v>28.162493730951734</v>
      </c>
    </row>
    <row r="17" spans="1:7">
      <c r="A17" s="3" t="s">
        <v>100</v>
      </c>
      <c r="B17" s="3" t="s">
        <v>97</v>
      </c>
      <c r="C17" s="3">
        <v>20</v>
      </c>
      <c r="D17" s="4">
        <v>80</v>
      </c>
      <c r="E17" s="4">
        <v>175</v>
      </c>
      <c r="F17" s="4">
        <v>126</v>
      </c>
      <c r="G17" s="5">
        <v>26.122448979591837</v>
      </c>
    </row>
    <row r="18" spans="1:7">
      <c r="A18" s="3" t="s">
        <v>101</v>
      </c>
      <c r="B18" s="3" t="s">
        <v>88</v>
      </c>
      <c r="C18" s="3">
        <v>20</v>
      </c>
      <c r="D18" s="4">
        <v>70</v>
      </c>
      <c r="E18" s="4">
        <v>180</v>
      </c>
      <c r="F18" s="4">
        <v>120</v>
      </c>
      <c r="G18" s="5">
        <v>21.604938271604937</v>
      </c>
    </row>
    <row r="20" spans="1:7">
      <c r="A20" s="3" t="s">
        <v>77</v>
      </c>
      <c r="B20" s="3" t="s">
        <v>80</v>
      </c>
    </row>
    <row r="21" spans="1:7">
      <c r="A21" s="46" t="s">
        <v>362</v>
      </c>
      <c r="B21" s="46" t="s">
        <v>363</v>
      </c>
    </row>
    <row r="24" spans="1:7">
      <c r="A24" s="3" t="s">
        <v>2</v>
      </c>
      <c r="B24" s="3" t="s">
        <v>77</v>
      </c>
      <c r="C24" s="3" t="s">
        <v>78</v>
      </c>
      <c r="D24" s="3" t="s">
        <v>79</v>
      </c>
      <c r="E24" s="3" t="s">
        <v>80</v>
      </c>
      <c r="F24" s="3" t="s">
        <v>81</v>
      </c>
      <c r="G24" s="3" t="s">
        <v>82</v>
      </c>
    </row>
    <row r="25" spans="1:7">
      <c r="A25" s="3" t="s">
        <v>83</v>
      </c>
      <c r="B25" s="3" t="s">
        <v>84</v>
      </c>
      <c r="C25" s="3">
        <v>30</v>
      </c>
      <c r="D25" s="4">
        <v>70</v>
      </c>
      <c r="E25" s="4">
        <v>160</v>
      </c>
      <c r="F25" s="4">
        <v>135</v>
      </c>
      <c r="G25" s="5">
        <v>27.34375</v>
      </c>
    </row>
    <row r="26" spans="1:7">
      <c r="A26" s="3" t="s">
        <v>86</v>
      </c>
      <c r="B26" s="3" t="s">
        <v>84</v>
      </c>
      <c r="C26" s="3">
        <v>30</v>
      </c>
      <c r="D26" s="4">
        <v>60</v>
      </c>
      <c r="E26" s="4">
        <v>163</v>
      </c>
      <c r="F26" s="4">
        <v>126</v>
      </c>
      <c r="G26" s="5">
        <v>22.582709172343712</v>
      </c>
    </row>
    <row r="27" spans="1:7">
      <c r="A27" s="3" t="s">
        <v>92</v>
      </c>
      <c r="B27" s="3" t="s">
        <v>84</v>
      </c>
      <c r="C27" s="3">
        <v>40</v>
      </c>
      <c r="D27" s="4">
        <v>75</v>
      </c>
      <c r="E27" s="4">
        <v>180</v>
      </c>
      <c r="F27" s="4">
        <v>120</v>
      </c>
      <c r="G27" s="5">
        <v>23.148148148148145</v>
      </c>
    </row>
    <row r="28" spans="1:7">
      <c r="A28" s="3" t="s">
        <v>94</v>
      </c>
      <c r="B28" s="3" t="s">
        <v>84</v>
      </c>
      <c r="C28" s="3">
        <v>30</v>
      </c>
      <c r="D28" s="4">
        <v>65</v>
      </c>
      <c r="E28" s="4">
        <v>165</v>
      </c>
      <c r="F28" s="4">
        <v>125</v>
      </c>
      <c r="G28" s="5">
        <v>23.875114784205696</v>
      </c>
    </row>
    <row r="29" spans="1:7">
      <c r="A29" s="3" t="s">
        <v>99</v>
      </c>
      <c r="B29" s="3" t="s">
        <v>84</v>
      </c>
      <c r="C29" s="3">
        <v>40</v>
      </c>
      <c r="D29" s="4">
        <v>73</v>
      </c>
      <c r="E29" s="4">
        <v>161</v>
      </c>
      <c r="F29" s="4">
        <v>136</v>
      </c>
      <c r="G29" s="5">
        <v>28.162493730951734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"/>
  <sheetViews>
    <sheetView tabSelected="1" zoomScaleNormal="100" workbookViewId="0">
      <selection activeCell="L3" sqref="L3:L11"/>
    </sheetView>
  </sheetViews>
  <sheetFormatPr defaultRowHeight="16.5"/>
  <cols>
    <col min="1" max="1" width="10.125" customWidth="1"/>
    <col min="2" max="2" width="15" customWidth="1"/>
    <col min="3" max="3" width="11.625" customWidth="1"/>
    <col min="4" max="4" width="10.375" customWidth="1"/>
    <col min="5" max="5" width="11.625" customWidth="1"/>
    <col min="9" max="9" width="12" customWidth="1"/>
    <col min="10" max="10" width="15.875" bestFit="1" customWidth="1"/>
    <col min="11" max="11" width="8.875" customWidth="1"/>
    <col min="12" max="12" width="12.5" customWidth="1"/>
  </cols>
  <sheetData>
    <row r="1" spans="1:21">
      <c r="A1" s="6" t="s">
        <v>102</v>
      </c>
      <c r="B1" s="7" t="s">
        <v>103</v>
      </c>
      <c r="C1" s="1"/>
      <c r="D1" s="1"/>
      <c r="E1" s="1"/>
      <c r="F1" s="1"/>
      <c r="G1" s="1"/>
      <c r="H1" s="1"/>
      <c r="I1" s="6" t="s">
        <v>104</v>
      </c>
      <c r="J1" s="7" t="s">
        <v>105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8" t="s">
        <v>106</v>
      </c>
      <c r="B2" s="8" t="s">
        <v>108</v>
      </c>
      <c r="C2" s="9" t="s">
        <v>109</v>
      </c>
      <c r="D2" s="1"/>
      <c r="E2" s="1" t="s">
        <v>110</v>
      </c>
      <c r="F2" s="1"/>
      <c r="G2" s="10" t="s">
        <v>111</v>
      </c>
      <c r="H2" s="1"/>
      <c r="I2" s="8" t="s">
        <v>112</v>
      </c>
      <c r="J2" s="8" t="s">
        <v>113</v>
      </c>
      <c r="K2" s="8" t="s">
        <v>114</v>
      </c>
      <c r="L2" s="9" t="s">
        <v>115</v>
      </c>
      <c r="M2" s="1"/>
      <c r="N2" s="1"/>
      <c r="O2" s="1"/>
      <c r="P2" s="1"/>
      <c r="Q2" s="1"/>
      <c r="R2" s="1"/>
      <c r="S2" s="1"/>
      <c r="T2" s="1"/>
      <c r="U2" s="1"/>
    </row>
    <row r="3" spans="1:21">
      <c r="A3" s="8" t="s">
        <v>116</v>
      </c>
      <c r="B3" s="8">
        <v>31</v>
      </c>
      <c r="C3" s="11">
        <f>B3*VLOOKUP(LEFT(A3,1),$E$4:$G$7,3,0)</f>
        <v>108500</v>
      </c>
      <c r="D3" s="1"/>
      <c r="E3" s="8" t="s">
        <v>117</v>
      </c>
      <c r="F3" s="8" t="s">
        <v>118</v>
      </c>
      <c r="G3" s="8" t="s">
        <v>119</v>
      </c>
      <c r="H3" s="1"/>
      <c r="I3" s="8" t="s">
        <v>120</v>
      </c>
      <c r="J3" s="12">
        <v>44402</v>
      </c>
      <c r="K3" s="8">
        <v>7</v>
      </c>
      <c r="L3" s="12">
        <f>WORKDAY(J3,K3)</f>
        <v>44411</v>
      </c>
      <c r="M3" s="1"/>
      <c r="N3" s="1"/>
      <c r="O3" s="1"/>
      <c r="P3" s="1"/>
      <c r="Q3" s="1"/>
      <c r="R3" s="1"/>
      <c r="S3" s="1"/>
      <c r="T3" s="1"/>
      <c r="U3" s="1"/>
    </row>
    <row r="4" spans="1:21">
      <c r="A4" s="8" t="s">
        <v>121</v>
      </c>
      <c r="B4" s="8">
        <v>21</v>
      </c>
      <c r="C4" s="11">
        <f t="shared" ref="C4:C11" si="0">B4*VLOOKUP(LEFT(A4,1),$E$4:$G$7,3,0)</f>
        <v>31500</v>
      </c>
      <c r="D4" s="1"/>
      <c r="E4" s="8" t="s">
        <v>122</v>
      </c>
      <c r="F4" s="8" t="s">
        <v>123</v>
      </c>
      <c r="G4" s="11">
        <v>3500</v>
      </c>
      <c r="H4" s="1"/>
      <c r="I4" s="8" t="s">
        <v>124</v>
      </c>
      <c r="J4" s="12">
        <v>44409</v>
      </c>
      <c r="K4" s="8">
        <v>5</v>
      </c>
      <c r="L4" s="12">
        <f t="shared" ref="L4:L11" si="1">WORKDAY(J4,K4)</f>
        <v>44414</v>
      </c>
      <c r="M4" s="1"/>
      <c r="N4" s="1"/>
      <c r="O4" s="1"/>
      <c r="P4" s="1"/>
      <c r="Q4" s="1"/>
      <c r="R4" s="1"/>
      <c r="S4" s="1"/>
      <c r="T4" s="1"/>
      <c r="U4" s="1"/>
    </row>
    <row r="5" spans="1:21">
      <c r="A5" s="8" t="s">
        <v>125</v>
      </c>
      <c r="B5" s="8">
        <v>18</v>
      </c>
      <c r="C5" s="11">
        <f t="shared" si="0"/>
        <v>50400</v>
      </c>
      <c r="D5" s="1"/>
      <c r="E5" s="8" t="s">
        <v>126</v>
      </c>
      <c r="F5" s="8" t="s">
        <v>127</v>
      </c>
      <c r="G5" s="11">
        <v>1500</v>
      </c>
      <c r="H5" s="1"/>
      <c r="I5" s="8" t="s">
        <v>128</v>
      </c>
      <c r="J5" s="12">
        <v>44401</v>
      </c>
      <c r="K5" s="8">
        <v>6</v>
      </c>
      <c r="L5" s="12">
        <f t="shared" si="1"/>
        <v>44410</v>
      </c>
      <c r="M5" s="1"/>
      <c r="N5" s="1"/>
      <c r="O5" s="1"/>
      <c r="P5" s="1"/>
      <c r="Q5" s="1"/>
      <c r="R5" s="1"/>
      <c r="S5" s="1"/>
      <c r="T5" s="1"/>
      <c r="U5" s="1"/>
    </row>
    <row r="6" spans="1:21">
      <c r="A6" s="8" t="s">
        <v>129</v>
      </c>
      <c r="B6" s="8">
        <v>27</v>
      </c>
      <c r="C6" s="11">
        <f t="shared" si="0"/>
        <v>36180</v>
      </c>
      <c r="D6" s="1"/>
      <c r="E6" s="8" t="s">
        <v>130</v>
      </c>
      <c r="F6" s="8" t="s">
        <v>131</v>
      </c>
      <c r="G6" s="11">
        <v>2800</v>
      </c>
      <c r="H6" s="1"/>
      <c r="I6" s="8" t="s">
        <v>132</v>
      </c>
      <c r="J6" s="12">
        <v>44418</v>
      </c>
      <c r="K6" s="8">
        <v>4</v>
      </c>
      <c r="L6" s="12">
        <f t="shared" si="1"/>
        <v>44424</v>
      </c>
      <c r="M6" s="1"/>
      <c r="N6" s="1"/>
      <c r="O6" s="1"/>
      <c r="P6" s="1"/>
      <c r="Q6" s="1"/>
      <c r="R6" s="1"/>
      <c r="S6" s="1"/>
      <c r="T6" s="1"/>
      <c r="U6" s="1"/>
    </row>
    <row r="7" spans="1:21">
      <c r="A7" s="8" t="s">
        <v>133</v>
      </c>
      <c r="B7" s="8">
        <v>17</v>
      </c>
      <c r="C7" s="11">
        <f t="shared" si="0"/>
        <v>47600</v>
      </c>
      <c r="D7" s="1"/>
      <c r="E7" s="13" t="s">
        <v>134</v>
      </c>
      <c r="F7" s="8" t="s">
        <v>135</v>
      </c>
      <c r="G7" s="14">
        <v>1340</v>
      </c>
      <c r="H7" s="1"/>
      <c r="I7" s="8" t="s">
        <v>136</v>
      </c>
      <c r="J7" s="12">
        <v>44423</v>
      </c>
      <c r="K7" s="8">
        <v>8</v>
      </c>
      <c r="L7" s="12">
        <f t="shared" si="1"/>
        <v>44433</v>
      </c>
      <c r="M7" s="1"/>
      <c r="N7" s="1"/>
      <c r="O7" s="1"/>
      <c r="P7" s="1"/>
      <c r="Q7" s="1"/>
      <c r="R7" s="1"/>
      <c r="S7" s="1"/>
      <c r="T7" s="1"/>
      <c r="U7" s="1"/>
    </row>
    <row r="8" spans="1:21">
      <c r="A8" s="8" t="s">
        <v>137</v>
      </c>
      <c r="B8" s="8">
        <v>34</v>
      </c>
      <c r="C8" s="11">
        <f t="shared" si="0"/>
        <v>119000</v>
      </c>
      <c r="D8" s="1"/>
      <c r="E8" s="1"/>
      <c r="F8" s="1"/>
      <c r="G8" s="1"/>
      <c r="H8" s="1"/>
      <c r="I8" s="8" t="s">
        <v>138</v>
      </c>
      <c r="J8" s="12">
        <v>44407</v>
      </c>
      <c r="K8" s="8">
        <v>9</v>
      </c>
      <c r="L8" s="12">
        <f t="shared" si="1"/>
        <v>44420</v>
      </c>
      <c r="M8" s="1"/>
      <c r="N8" s="1"/>
      <c r="O8" s="1"/>
      <c r="P8" s="1"/>
      <c r="Q8" s="1"/>
      <c r="R8" s="1"/>
      <c r="S8" s="1"/>
      <c r="T8" s="1"/>
      <c r="U8" s="1"/>
    </row>
    <row r="9" spans="1:21">
      <c r="A9" s="8" t="s">
        <v>139</v>
      </c>
      <c r="B9" s="8">
        <v>26</v>
      </c>
      <c r="C9" s="11">
        <f t="shared" si="0"/>
        <v>39000</v>
      </c>
      <c r="D9" s="1"/>
      <c r="E9" s="1"/>
      <c r="F9" s="1"/>
      <c r="G9" s="1"/>
      <c r="H9" s="1"/>
      <c r="I9" s="8" t="s">
        <v>140</v>
      </c>
      <c r="J9" s="12">
        <v>44405</v>
      </c>
      <c r="K9" s="8">
        <v>6</v>
      </c>
      <c r="L9" s="12">
        <f t="shared" si="1"/>
        <v>44413</v>
      </c>
      <c r="M9" s="1"/>
      <c r="N9" s="1"/>
      <c r="O9" s="1"/>
      <c r="P9" s="1"/>
      <c r="Q9" s="1"/>
      <c r="R9" s="1"/>
      <c r="S9" s="1"/>
      <c r="T9" s="1"/>
      <c r="U9" s="1"/>
    </row>
    <row r="10" spans="1:21">
      <c r="A10" s="8" t="s">
        <v>141</v>
      </c>
      <c r="B10" s="8">
        <v>29</v>
      </c>
      <c r="C10" s="11">
        <f t="shared" si="0"/>
        <v>38860</v>
      </c>
      <c r="D10" s="1"/>
      <c r="E10" s="1"/>
      <c r="F10" s="1"/>
      <c r="G10" s="1"/>
      <c r="H10" s="1"/>
      <c r="I10" s="8" t="s">
        <v>142</v>
      </c>
      <c r="J10" s="12">
        <v>44410</v>
      </c>
      <c r="K10" s="8">
        <v>5</v>
      </c>
      <c r="L10" s="12">
        <f t="shared" si="1"/>
        <v>44417</v>
      </c>
      <c r="M10" s="1"/>
      <c r="N10" s="1"/>
      <c r="O10" s="1"/>
      <c r="P10" s="1"/>
      <c r="Q10" s="1"/>
      <c r="R10" s="1"/>
      <c r="S10" s="1"/>
      <c r="T10" s="1"/>
      <c r="U10" s="1"/>
    </row>
    <row r="11" spans="1:21">
      <c r="A11" s="8" t="s">
        <v>143</v>
      </c>
      <c r="B11" s="8">
        <v>12</v>
      </c>
      <c r="C11" s="11">
        <f t="shared" si="0"/>
        <v>42000</v>
      </c>
      <c r="D11" s="1"/>
      <c r="E11" s="1"/>
      <c r="F11" s="1"/>
      <c r="G11" s="1"/>
      <c r="H11" s="1"/>
      <c r="I11" s="8" t="s">
        <v>144</v>
      </c>
      <c r="J11" s="12">
        <v>44413</v>
      </c>
      <c r="K11" s="8">
        <v>4</v>
      </c>
      <c r="L11" s="12">
        <f t="shared" si="1"/>
        <v>44419</v>
      </c>
      <c r="M11" s="1"/>
      <c r="N11" s="1"/>
      <c r="O11" s="1"/>
      <c r="P11" s="1"/>
      <c r="Q11" s="1"/>
      <c r="R11" s="1"/>
      <c r="S11" s="1"/>
      <c r="T11" s="1"/>
      <c r="U11" s="1"/>
    </row>
    <row r="12" spans="1:2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>
      <c r="A13" s="6" t="s">
        <v>145</v>
      </c>
      <c r="B13" s="7" t="s">
        <v>146</v>
      </c>
      <c r="C13" s="1"/>
      <c r="D13" s="8" t="s">
        <v>147</v>
      </c>
      <c r="E13" s="11">
        <v>60000</v>
      </c>
      <c r="F13" s="1"/>
      <c r="G13" s="6" t="s">
        <v>148</v>
      </c>
      <c r="H13" s="7" t="s">
        <v>149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>
      <c r="A14" s="8" t="s">
        <v>150</v>
      </c>
      <c r="B14" s="8" t="s">
        <v>151</v>
      </c>
      <c r="C14" s="8" t="s">
        <v>152</v>
      </c>
      <c r="D14" s="8" t="s">
        <v>153</v>
      </c>
      <c r="E14" s="9" t="s">
        <v>154</v>
      </c>
      <c r="F14" s="1"/>
      <c r="G14" s="8" t="s">
        <v>155</v>
      </c>
      <c r="H14" s="8" t="s">
        <v>156</v>
      </c>
      <c r="I14" s="9" t="s">
        <v>157</v>
      </c>
      <c r="J14" s="33" t="s">
        <v>158</v>
      </c>
      <c r="K14" s="34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>
      <c r="A15" s="8" t="s">
        <v>159</v>
      </c>
      <c r="B15" s="15" t="s">
        <v>160</v>
      </c>
      <c r="C15" s="8"/>
      <c r="D15" s="11">
        <v>135000</v>
      </c>
      <c r="E15" s="8" t="str">
        <f>IF(D15-$E$13&lt;=0,"최상급",IF(D15-$E$13&lt;=20000,"상급",""))</f>
        <v/>
      </c>
      <c r="F15" s="1"/>
      <c r="G15" s="8" t="s">
        <v>161</v>
      </c>
      <c r="H15" s="8" t="s">
        <v>163</v>
      </c>
      <c r="I15" s="8" t="str">
        <f>MID(J15,1,SEARCH("@",J15)-1)</f>
        <v>gisung11</v>
      </c>
      <c r="J15" s="35" t="s">
        <v>164</v>
      </c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>
      <c r="A16" s="8" t="s">
        <v>165</v>
      </c>
      <c r="B16" s="8" t="s">
        <v>166</v>
      </c>
      <c r="C16" s="8" t="s">
        <v>167</v>
      </c>
      <c r="D16" s="11">
        <v>66000</v>
      </c>
      <c r="E16" s="30" t="str">
        <f t="shared" ref="E16:E23" si="2">IF(D16-$E$13&lt;=0,"최상급",IF(D16-$E$13&lt;=20000,"상급",""))</f>
        <v>상급</v>
      </c>
      <c r="F16" s="1"/>
      <c r="G16" s="8" t="s">
        <v>168</v>
      </c>
      <c r="H16" s="8" t="s">
        <v>170</v>
      </c>
      <c r="I16" s="30" t="str">
        <f t="shared" ref="I16:I22" si="3">MID(J16,1,SEARCH("@",J16)-1)</f>
        <v>piyung22</v>
      </c>
      <c r="J16" s="35" t="s">
        <v>171</v>
      </c>
      <c r="K16" s="36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1:21">
      <c r="A17" s="8" t="s">
        <v>172</v>
      </c>
      <c r="B17" s="8" t="s">
        <v>173</v>
      </c>
      <c r="C17" s="8"/>
      <c r="D17" s="11">
        <v>113000</v>
      </c>
      <c r="E17" s="30" t="str">
        <f t="shared" si="2"/>
        <v/>
      </c>
      <c r="F17" s="1"/>
      <c r="G17" s="8" t="s">
        <v>174</v>
      </c>
      <c r="H17" s="8" t="s">
        <v>175</v>
      </c>
      <c r="I17" s="30" t="str">
        <f t="shared" si="3"/>
        <v>sona44</v>
      </c>
      <c r="J17" s="35" t="s">
        <v>176</v>
      </c>
      <c r="K17" s="36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>
      <c r="A18" s="8" t="s">
        <v>177</v>
      </c>
      <c r="B18" s="8" t="s">
        <v>178</v>
      </c>
      <c r="C18" s="8"/>
      <c r="D18" s="11">
        <v>54000</v>
      </c>
      <c r="E18" s="30" t="str">
        <f t="shared" si="2"/>
        <v>최상급</v>
      </c>
      <c r="F18" s="1"/>
      <c r="G18" s="8" t="s">
        <v>179</v>
      </c>
      <c r="H18" s="8" t="s">
        <v>180</v>
      </c>
      <c r="I18" s="30" t="str">
        <f t="shared" si="3"/>
        <v>tree99</v>
      </c>
      <c r="J18" s="35" t="s">
        <v>181</v>
      </c>
      <c r="K18" s="36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>
      <c r="A19" s="8" t="s">
        <v>182</v>
      </c>
      <c r="B19" s="8" t="s">
        <v>183</v>
      </c>
      <c r="C19" s="8" t="s">
        <v>184</v>
      </c>
      <c r="D19" s="11">
        <v>25000</v>
      </c>
      <c r="E19" s="30" t="str">
        <f t="shared" si="2"/>
        <v>최상급</v>
      </c>
      <c r="F19" s="1"/>
      <c r="G19" s="8" t="s">
        <v>185</v>
      </c>
      <c r="H19" s="8" t="s">
        <v>186</v>
      </c>
      <c r="I19" s="30" t="str">
        <f t="shared" si="3"/>
        <v>odong55</v>
      </c>
      <c r="J19" s="35" t="s">
        <v>187</v>
      </c>
      <c r="K19" s="36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A20" s="8" t="s">
        <v>188</v>
      </c>
      <c r="B20" s="8" t="s">
        <v>189</v>
      </c>
      <c r="C20" s="8"/>
      <c r="D20" s="11">
        <v>64000</v>
      </c>
      <c r="E20" s="30" t="str">
        <f t="shared" si="2"/>
        <v>상급</v>
      </c>
      <c r="F20" s="1"/>
      <c r="G20" s="8" t="s">
        <v>190</v>
      </c>
      <c r="H20" s="8" t="s">
        <v>169</v>
      </c>
      <c r="I20" s="30" t="str">
        <f t="shared" si="3"/>
        <v>gogu88</v>
      </c>
      <c r="J20" s="35" t="s">
        <v>191</v>
      </c>
      <c r="K20" s="36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>
      <c r="A21" s="8" t="s">
        <v>192</v>
      </c>
      <c r="B21" s="8" t="s">
        <v>193</v>
      </c>
      <c r="C21" s="8" t="s">
        <v>167</v>
      </c>
      <c r="D21" s="11">
        <v>86000</v>
      </c>
      <c r="E21" s="30" t="str">
        <f t="shared" si="2"/>
        <v/>
      </c>
      <c r="F21" s="1"/>
      <c r="G21" s="8" t="s">
        <v>194</v>
      </c>
      <c r="H21" s="8" t="s">
        <v>162</v>
      </c>
      <c r="I21" s="30" t="str">
        <f t="shared" si="3"/>
        <v>lamen33</v>
      </c>
      <c r="J21" s="35" t="s">
        <v>195</v>
      </c>
      <c r="K21" s="36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>
      <c r="A22" s="8" t="s">
        <v>196</v>
      </c>
      <c r="B22" s="8" t="s">
        <v>197</v>
      </c>
      <c r="C22" s="8" t="s">
        <v>167</v>
      </c>
      <c r="D22" s="11">
        <v>70000</v>
      </c>
      <c r="E22" s="30" t="str">
        <f t="shared" si="2"/>
        <v>상급</v>
      </c>
      <c r="F22" s="1"/>
      <c r="G22" s="8" t="s">
        <v>198</v>
      </c>
      <c r="H22" s="8" t="s">
        <v>169</v>
      </c>
      <c r="I22" s="30" t="str">
        <f t="shared" si="3"/>
        <v>dongpi77</v>
      </c>
      <c r="J22" s="35" t="s">
        <v>199</v>
      </c>
      <c r="K22" s="36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1">
      <c r="A23" s="8" t="s">
        <v>200</v>
      </c>
      <c r="B23" s="8" t="s">
        <v>201</v>
      </c>
      <c r="C23" s="8"/>
      <c r="D23" s="11">
        <v>145000</v>
      </c>
      <c r="E23" s="30" t="str">
        <f t="shared" si="2"/>
        <v/>
      </c>
      <c r="F23" s="1"/>
      <c r="G23" s="8" t="s">
        <v>202</v>
      </c>
      <c r="H23" s="8" t="s">
        <v>203</v>
      </c>
      <c r="I23" s="30" t="str">
        <f>MID(J23,1,SEARCH("@",J23)-1)</f>
        <v>pchsu66</v>
      </c>
      <c r="J23" s="35" t="s">
        <v>204</v>
      </c>
      <c r="K23" s="36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1">
      <c r="A25" s="6" t="s">
        <v>205</v>
      </c>
      <c r="B25" s="7" t="s">
        <v>206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>
      <c r="A26" s="8" t="s">
        <v>207</v>
      </c>
      <c r="B26" s="8" t="s">
        <v>208</v>
      </c>
      <c r="C26" s="8" t="s">
        <v>209</v>
      </c>
      <c r="D26" s="8" t="s">
        <v>210</v>
      </c>
      <c r="E26" s="8" t="s">
        <v>211</v>
      </c>
      <c r="F26" s="1"/>
      <c r="G26" s="37" t="s">
        <v>212</v>
      </c>
      <c r="H26" s="37"/>
      <c r="I26" s="37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1:21">
      <c r="A27" s="8" t="s">
        <v>213</v>
      </c>
      <c r="B27" s="8" t="s">
        <v>215</v>
      </c>
      <c r="C27" s="8">
        <v>90</v>
      </c>
      <c r="D27" s="8">
        <v>95</v>
      </c>
      <c r="E27" s="8">
        <v>96</v>
      </c>
      <c r="F27" s="1"/>
      <c r="G27" s="32" t="str">
        <f>TRUNC(AVERAGEIF(B27:B36,"여",E27:E36))&amp;"점"</f>
        <v>87점</v>
      </c>
      <c r="H27" s="32"/>
      <c r="I27" s="3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1:21">
      <c r="A28" s="8" t="s">
        <v>216</v>
      </c>
      <c r="B28" s="8" t="s">
        <v>217</v>
      </c>
      <c r="C28" s="8">
        <v>75</v>
      </c>
      <c r="D28" s="8">
        <v>72</v>
      </c>
      <c r="E28" s="8">
        <v>74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1:21">
      <c r="A29" s="8" t="s">
        <v>218</v>
      </c>
      <c r="B29" s="8" t="s">
        <v>215</v>
      </c>
      <c r="C29" s="8">
        <v>85</v>
      </c>
      <c r="D29" s="8">
        <v>89</v>
      </c>
      <c r="E29" s="8">
        <v>90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1">
      <c r="A30" s="8" t="s">
        <v>219</v>
      </c>
      <c r="B30" s="8" t="s">
        <v>217</v>
      </c>
      <c r="C30" s="8">
        <v>97</v>
      </c>
      <c r="D30" s="8">
        <v>90</v>
      </c>
      <c r="E30" s="8">
        <v>96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1">
      <c r="A31" s="8" t="s">
        <v>220</v>
      </c>
      <c r="B31" s="8" t="s">
        <v>221</v>
      </c>
      <c r="C31" s="8">
        <v>70</v>
      </c>
      <c r="D31" s="8">
        <v>73</v>
      </c>
      <c r="E31" s="8">
        <v>72</v>
      </c>
      <c r="F31" s="1"/>
      <c r="G31" s="1"/>
      <c r="M31" s="1"/>
      <c r="N31" s="1"/>
      <c r="O31" s="1"/>
      <c r="P31" s="1"/>
      <c r="Q31" s="1"/>
      <c r="R31" s="1"/>
      <c r="S31" s="1"/>
      <c r="T31" s="1"/>
      <c r="U31" s="1"/>
    </row>
    <row r="32" spans="1:21">
      <c r="A32" s="8" t="s">
        <v>222</v>
      </c>
      <c r="B32" s="8" t="s">
        <v>215</v>
      </c>
      <c r="C32" s="8">
        <v>98</v>
      </c>
      <c r="D32" s="8">
        <v>93</v>
      </c>
      <c r="E32" s="8">
        <v>90</v>
      </c>
      <c r="F32" s="1"/>
      <c r="G32" s="1"/>
      <c r="M32" s="1"/>
      <c r="N32" s="1"/>
      <c r="O32" s="1"/>
      <c r="P32" s="1"/>
      <c r="Q32" s="1"/>
      <c r="R32" s="1"/>
      <c r="S32" s="1"/>
      <c r="T32" s="1"/>
      <c r="U32" s="1"/>
    </row>
    <row r="33" spans="1:21">
      <c r="A33" s="8" t="s">
        <v>223</v>
      </c>
      <c r="B33" s="8" t="s">
        <v>217</v>
      </c>
      <c r="C33" s="8">
        <v>95</v>
      </c>
      <c r="D33" s="8">
        <v>99</v>
      </c>
      <c r="E33" s="8">
        <v>96</v>
      </c>
      <c r="F33" s="1"/>
      <c r="G33" s="1"/>
      <c r="M33" s="1"/>
      <c r="N33" s="1"/>
      <c r="O33" s="1"/>
      <c r="P33" s="1"/>
      <c r="Q33" s="1"/>
      <c r="R33" s="1"/>
      <c r="S33" s="1"/>
      <c r="T33" s="1"/>
      <c r="U33" s="1"/>
    </row>
    <row r="34" spans="1:21">
      <c r="A34" s="8" t="s">
        <v>224</v>
      </c>
      <c r="B34" s="8" t="s">
        <v>217</v>
      </c>
      <c r="C34" s="8">
        <v>81</v>
      </c>
      <c r="D34" s="8">
        <v>82</v>
      </c>
      <c r="E34" s="8">
        <v>84</v>
      </c>
      <c r="F34" s="1"/>
      <c r="G34" s="1"/>
      <c r="M34" s="1"/>
      <c r="N34" s="1"/>
      <c r="O34" s="1"/>
      <c r="P34" s="1"/>
      <c r="Q34" s="1"/>
      <c r="R34" s="1"/>
      <c r="S34" s="1"/>
      <c r="T34" s="1"/>
      <c r="U34" s="1"/>
    </row>
    <row r="35" spans="1:21">
      <c r="A35" s="8" t="s">
        <v>225</v>
      </c>
      <c r="B35" s="8" t="s">
        <v>215</v>
      </c>
      <c r="C35" s="8">
        <v>75</v>
      </c>
      <c r="D35" s="8">
        <v>74</v>
      </c>
      <c r="E35" s="8">
        <v>75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>
      <c r="A36" s="8" t="s">
        <v>226</v>
      </c>
      <c r="B36" s="8" t="s">
        <v>214</v>
      </c>
      <c r="C36" s="8">
        <v>78</v>
      </c>
      <c r="D36" s="8">
        <v>79</v>
      </c>
      <c r="E36" s="8">
        <v>79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</sheetData>
  <mergeCells count="12">
    <mergeCell ref="G27:I27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G26:I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6"/>
  <sheetViews>
    <sheetView workbookViewId="0">
      <selection activeCell="G3" sqref="G3:J8"/>
    </sheetView>
  </sheetViews>
  <sheetFormatPr defaultRowHeight="16.5"/>
  <cols>
    <col min="2" max="5" width="9.75" customWidth="1"/>
    <col min="7" max="7" width="11.875" customWidth="1"/>
    <col min="8" max="10" width="10" customWidth="1"/>
  </cols>
  <sheetData>
    <row r="1" spans="1:14" ht="20.25">
      <c r="A1" s="41" t="s">
        <v>227</v>
      </c>
      <c r="B1" s="41"/>
      <c r="C1" s="41"/>
      <c r="D1" s="41"/>
      <c r="E1" s="41"/>
      <c r="F1" s="1"/>
      <c r="G1" s="41" t="s">
        <v>228</v>
      </c>
      <c r="H1" s="41"/>
      <c r="I1" s="41"/>
      <c r="J1" s="41"/>
      <c r="K1" s="1"/>
      <c r="L1" s="1"/>
      <c r="M1" s="1"/>
      <c r="N1" s="1"/>
    </row>
    <row r="2" spans="1:1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>
      <c r="A3" s="8" t="s">
        <v>229</v>
      </c>
      <c r="B3" s="8" t="s">
        <v>231</v>
      </c>
      <c r="C3" s="8" t="s">
        <v>232</v>
      </c>
      <c r="D3" s="8" t="s">
        <v>233</v>
      </c>
      <c r="E3" s="8" t="s">
        <v>234</v>
      </c>
      <c r="F3" s="1"/>
      <c r="G3" s="8" t="s">
        <v>230</v>
      </c>
      <c r="H3" s="13" t="s">
        <v>235</v>
      </c>
      <c r="I3" s="13" t="s">
        <v>236</v>
      </c>
      <c r="J3" s="13" t="s">
        <v>237</v>
      </c>
      <c r="K3" s="1"/>
      <c r="L3" s="1"/>
      <c r="M3" s="1"/>
      <c r="N3" s="1"/>
    </row>
    <row r="4" spans="1:14">
      <c r="A4" s="38" t="s">
        <v>238</v>
      </c>
      <c r="B4" s="8" t="s">
        <v>239</v>
      </c>
      <c r="C4" s="11">
        <v>13935</v>
      </c>
      <c r="D4" s="11">
        <v>13495</v>
      </c>
      <c r="E4" s="11">
        <v>10939</v>
      </c>
      <c r="F4" s="1"/>
      <c r="G4" s="8" t="s">
        <v>240</v>
      </c>
      <c r="H4" s="48">
        <v>23129.5</v>
      </c>
      <c r="I4" s="48">
        <v>13924.75</v>
      </c>
      <c r="J4" s="48">
        <v>14289</v>
      </c>
      <c r="K4" s="1"/>
      <c r="L4" s="1"/>
      <c r="M4" s="1"/>
      <c r="N4" s="1"/>
    </row>
    <row r="5" spans="1:14">
      <c r="A5" s="39"/>
      <c r="B5" s="8" t="s">
        <v>242</v>
      </c>
      <c r="C5" s="11">
        <v>9564</v>
      </c>
      <c r="D5" s="11">
        <v>7985</v>
      </c>
      <c r="E5" s="11">
        <v>6759</v>
      </c>
      <c r="F5" s="1"/>
      <c r="G5" s="8" t="s">
        <v>241</v>
      </c>
      <c r="H5" s="48">
        <v>11178.25</v>
      </c>
      <c r="I5" s="48">
        <v>8236</v>
      </c>
      <c r="J5" s="48">
        <v>8060.5</v>
      </c>
      <c r="K5" s="1"/>
      <c r="L5" s="1"/>
      <c r="M5" s="1"/>
      <c r="N5" s="1"/>
    </row>
    <row r="6" spans="1:14">
      <c r="A6" s="39"/>
      <c r="B6" s="8" t="s">
        <v>243</v>
      </c>
      <c r="C6" s="11">
        <v>14393</v>
      </c>
      <c r="D6" s="11">
        <v>9978</v>
      </c>
      <c r="E6" s="11">
        <v>5896</v>
      </c>
      <c r="F6" s="1"/>
      <c r="G6" s="8" t="s">
        <v>244</v>
      </c>
      <c r="H6" s="48">
        <v>12932</v>
      </c>
      <c r="I6" s="48">
        <v>10090.25</v>
      </c>
      <c r="J6" s="48">
        <v>7219.5</v>
      </c>
      <c r="K6" s="1"/>
      <c r="L6" s="1"/>
      <c r="M6" s="1"/>
      <c r="N6" s="1"/>
    </row>
    <row r="7" spans="1:14">
      <c r="A7" s="39"/>
      <c r="B7" s="8" t="s">
        <v>246</v>
      </c>
      <c r="C7" s="11">
        <v>11359</v>
      </c>
      <c r="D7" s="11">
        <v>10351</v>
      </c>
      <c r="E7" s="11">
        <v>8653</v>
      </c>
      <c r="F7" s="1"/>
      <c r="G7" s="8" t="s">
        <v>247</v>
      </c>
      <c r="H7" s="48">
        <v>13139.75</v>
      </c>
      <c r="I7" s="48">
        <v>11059.25</v>
      </c>
      <c r="J7" s="48">
        <v>9945.25</v>
      </c>
      <c r="K7" s="1"/>
      <c r="L7" s="1"/>
      <c r="M7" s="1"/>
      <c r="N7" s="1"/>
    </row>
    <row r="8" spans="1:14">
      <c r="A8" s="40"/>
      <c r="B8" s="8" t="s">
        <v>248</v>
      </c>
      <c r="C8" s="11">
        <v>7539</v>
      </c>
      <c r="D8" s="11">
        <v>6893</v>
      </c>
      <c r="E8" s="11">
        <v>5994</v>
      </c>
      <c r="F8" s="1"/>
      <c r="G8" s="8" t="s">
        <v>249</v>
      </c>
      <c r="H8" s="48">
        <v>9003.75</v>
      </c>
      <c r="I8" s="48">
        <v>7340.75</v>
      </c>
      <c r="J8" s="48">
        <v>6939</v>
      </c>
      <c r="K8" s="1"/>
      <c r="L8" s="1"/>
      <c r="M8" s="1"/>
      <c r="N8" s="1"/>
    </row>
    <row r="9" spans="1:14">
      <c r="A9" s="38" t="s">
        <v>250</v>
      </c>
      <c r="B9" s="8" t="s">
        <v>239</v>
      </c>
      <c r="C9" s="11">
        <v>14953</v>
      </c>
      <c r="D9" s="11">
        <v>10359</v>
      </c>
      <c r="E9" s="11">
        <v>9863</v>
      </c>
      <c r="F9" s="1"/>
      <c r="G9" s="1"/>
      <c r="H9" s="1"/>
      <c r="I9" s="1"/>
      <c r="J9" s="1"/>
      <c r="K9" s="1"/>
      <c r="L9" s="1"/>
      <c r="M9" s="1"/>
      <c r="N9" s="1"/>
    </row>
    <row r="10" spans="1:14">
      <c r="A10" s="39"/>
      <c r="B10" s="8" t="s">
        <v>241</v>
      </c>
      <c r="C10" s="11">
        <v>8675</v>
      </c>
      <c r="D10" s="11">
        <v>7981</v>
      </c>
      <c r="E10" s="11">
        <v>6935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>
      <c r="A11" s="39"/>
      <c r="B11" s="8" t="s">
        <v>243</v>
      </c>
      <c r="C11" s="11">
        <v>9795</v>
      </c>
      <c r="D11" s="11">
        <v>7989</v>
      </c>
      <c r="E11" s="11">
        <v>5798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>
      <c r="A12" s="39"/>
      <c r="B12" s="8" t="s">
        <v>245</v>
      </c>
      <c r="C12" s="11">
        <v>10869</v>
      </c>
      <c r="D12" s="11">
        <v>9495</v>
      </c>
      <c r="E12" s="11">
        <v>8796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>
      <c r="A13" s="40"/>
      <c r="B13" s="8" t="s">
        <v>249</v>
      </c>
      <c r="C13" s="11">
        <v>7739</v>
      </c>
      <c r="D13" s="11">
        <v>5896</v>
      </c>
      <c r="E13" s="11">
        <v>5798</v>
      </c>
      <c r="F13" s="1"/>
      <c r="G13" s="1"/>
      <c r="H13" s="1"/>
      <c r="I13" s="1"/>
      <c r="J13" s="1"/>
      <c r="K13" s="1"/>
      <c r="L13" s="1"/>
      <c r="M13" s="1"/>
      <c r="N13" s="1"/>
    </row>
    <row r="14" spans="1:14">
      <c r="A14" s="38" t="s">
        <v>251</v>
      </c>
      <c r="B14" s="8" t="s">
        <v>239</v>
      </c>
      <c r="C14" s="11">
        <v>30031</v>
      </c>
      <c r="D14" s="11">
        <v>13850</v>
      </c>
      <c r="E14" s="11">
        <v>18665</v>
      </c>
      <c r="F14" s="1"/>
      <c r="G14" s="1"/>
      <c r="H14" s="1"/>
      <c r="I14" s="1"/>
      <c r="J14" s="1"/>
      <c r="K14" s="1"/>
      <c r="L14" s="1"/>
      <c r="M14" s="1"/>
      <c r="N14" s="1"/>
    </row>
    <row r="15" spans="1:14">
      <c r="A15" s="39"/>
      <c r="B15" s="8" t="s">
        <v>241</v>
      </c>
      <c r="C15" s="11">
        <v>14935</v>
      </c>
      <c r="D15" s="11">
        <v>10103</v>
      </c>
      <c r="E15" s="11">
        <v>9579</v>
      </c>
      <c r="F15" s="1"/>
      <c r="G15" s="1"/>
      <c r="H15" s="1"/>
      <c r="I15" s="1"/>
      <c r="J15" s="1"/>
      <c r="K15" s="1"/>
      <c r="L15" s="1"/>
      <c r="M15" s="1"/>
      <c r="N15" s="1"/>
    </row>
    <row r="16" spans="1:14">
      <c r="A16" s="39"/>
      <c r="B16" s="8" t="s">
        <v>243</v>
      </c>
      <c r="C16" s="11">
        <v>13586</v>
      </c>
      <c r="D16" s="11">
        <v>11359</v>
      </c>
      <c r="E16" s="11">
        <v>9495</v>
      </c>
      <c r="F16" s="1"/>
      <c r="G16" s="1"/>
      <c r="H16" s="1"/>
      <c r="I16" s="1"/>
      <c r="J16" s="1"/>
      <c r="K16" s="1"/>
      <c r="L16" s="1"/>
      <c r="M16" s="1"/>
      <c r="N16" s="1"/>
    </row>
    <row r="17" spans="1:14">
      <c r="A17" s="39"/>
      <c r="B17" s="8" t="s">
        <v>245</v>
      </c>
      <c r="C17" s="11">
        <v>14935</v>
      </c>
      <c r="D17" s="11">
        <v>13596</v>
      </c>
      <c r="E17" s="11">
        <v>10353</v>
      </c>
      <c r="F17" s="1"/>
      <c r="G17" s="1"/>
      <c r="H17" s="1"/>
      <c r="I17" s="1"/>
      <c r="J17" s="1"/>
      <c r="K17" s="1"/>
      <c r="L17" s="1"/>
      <c r="M17" s="1"/>
      <c r="N17" s="1"/>
    </row>
    <row r="18" spans="1:14">
      <c r="A18" s="40"/>
      <c r="B18" s="8" t="s">
        <v>248</v>
      </c>
      <c r="C18" s="11">
        <v>10693</v>
      </c>
      <c r="D18" s="11">
        <v>7899</v>
      </c>
      <c r="E18" s="11">
        <v>7996</v>
      </c>
      <c r="F18" s="1"/>
      <c r="G18" s="1"/>
      <c r="H18" s="1"/>
      <c r="I18" s="1"/>
      <c r="J18" s="1"/>
      <c r="K18" s="1"/>
      <c r="L18" s="1"/>
      <c r="M18" s="1"/>
      <c r="N18" s="1"/>
    </row>
    <row r="19" spans="1:14">
      <c r="A19" s="38" t="s">
        <v>252</v>
      </c>
      <c r="B19" s="8" t="s">
        <v>253</v>
      </c>
      <c r="C19" s="11">
        <v>33599</v>
      </c>
      <c r="D19" s="11">
        <v>17995</v>
      </c>
      <c r="E19" s="11">
        <v>17689</v>
      </c>
      <c r="F19" s="1"/>
      <c r="G19" s="1"/>
      <c r="H19" s="1"/>
      <c r="I19" s="1"/>
      <c r="J19" s="1"/>
      <c r="K19" s="1"/>
      <c r="L19" s="1"/>
      <c r="M19" s="1"/>
      <c r="N19" s="1"/>
    </row>
    <row r="20" spans="1:14">
      <c r="A20" s="39"/>
      <c r="B20" s="8" t="s">
        <v>254</v>
      </c>
      <c r="C20" s="11">
        <v>11539</v>
      </c>
      <c r="D20" s="11">
        <v>6875</v>
      </c>
      <c r="E20" s="11">
        <v>8969</v>
      </c>
      <c r="F20" s="1"/>
      <c r="G20" s="1"/>
      <c r="H20" s="1"/>
      <c r="I20" s="1"/>
      <c r="J20" s="1"/>
      <c r="K20" s="1"/>
      <c r="L20" s="1"/>
      <c r="M20" s="1"/>
      <c r="N20" s="1"/>
    </row>
    <row r="21" spans="1:14">
      <c r="A21" s="39"/>
      <c r="B21" s="8" t="s">
        <v>243</v>
      </c>
      <c r="C21" s="11">
        <v>13954</v>
      </c>
      <c r="D21" s="11">
        <v>11035</v>
      </c>
      <c r="E21" s="11">
        <v>7689</v>
      </c>
      <c r="F21" s="1"/>
      <c r="G21" s="1"/>
      <c r="H21" s="1"/>
      <c r="I21" s="1"/>
      <c r="J21" s="1"/>
      <c r="K21" s="1"/>
      <c r="L21" s="1"/>
      <c r="M21" s="1"/>
      <c r="N21" s="1"/>
    </row>
    <row r="22" spans="1:14">
      <c r="A22" s="39"/>
      <c r="B22" s="8" t="s">
        <v>245</v>
      </c>
      <c r="C22" s="11">
        <v>15396</v>
      </c>
      <c r="D22" s="11">
        <v>10795</v>
      </c>
      <c r="E22" s="11">
        <v>11979</v>
      </c>
      <c r="F22" s="1"/>
      <c r="G22" s="1"/>
      <c r="H22" s="1"/>
      <c r="I22" s="1"/>
      <c r="J22" s="1"/>
      <c r="K22" s="1"/>
      <c r="L22" s="1"/>
      <c r="M22" s="1"/>
      <c r="N22" s="1"/>
    </row>
    <row r="23" spans="1:14">
      <c r="A23" s="40"/>
      <c r="B23" s="8" t="s">
        <v>249</v>
      </c>
      <c r="C23" s="11">
        <v>10044</v>
      </c>
      <c r="D23" s="11">
        <v>8675</v>
      </c>
      <c r="E23" s="11">
        <v>7968</v>
      </c>
      <c r="F23" s="1"/>
      <c r="G23" s="1"/>
      <c r="H23" s="1"/>
      <c r="I23" s="1"/>
      <c r="J23" s="1"/>
      <c r="K23" s="1"/>
      <c r="L23" s="1"/>
      <c r="M23" s="1"/>
      <c r="N23" s="1"/>
    </row>
    <row r="24" spans="1:1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</sheetData>
  <dataConsolidate function="average" leftLabels="1" topLabels="1">
    <dataRefs count="1">
      <dataRef ref="B3:E23" sheet="분석작업-1"/>
    </dataRefs>
  </dataConsolidate>
  <mergeCells count="6">
    <mergeCell ref="A19:A23"/>
    <mergeCell ref="A1:E1"/>
    <mergeCell ref="G1:J1"/>
    <mergeCell ref="A4:A8"/>
    <mergeCell ref="A9:A13"/>
    <mergeCell ref="A14:A1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7.25" bestFit="1" customWidth="1" outlineLevel="1"/>
  </cols>
  <sheetData>
    <row r="1" spans="2:6" ht="17.25" thickBot="1"/>
    <row r="2" spans="2:6">
      <c r="B2" s="53" t="s">
        <v>370</v>
      </c>
      <c r="C2" s="54"/>
      <c r="D2" s="60"/>
      <c r="E2" s="60"/>
      <c r="F2" s="60"/>
    </row>
    <row r="3" spans="2:6" collapsed="1">
      <c r="B3" s="52"/>
      <c r="C3" s="52"/>
      <c r="D3" s="61" t="s">
        <v>372</v>
      </c>
      <c r="E3" s="61" t="s">
        <v>367</v>
      </c>
      <c r="F3" s="61" t="s">
        <v>369</v>
      </c>
    </row>
    <row r="4" spans="2:6" ht="27" hidden="1" outlineLevel="1">
      <c r="B4" s="56"/>
      <c r="C4" s="56"/>
      <c r="D4" s="49"/>
      <c r="E4" s="63" t="s">
        <v>368</v>
      </c>
      <c r="F4" s="63" t="s">
        <v>368</v>
      </c>
    </row>
    <row r="5" spans="2:6">
      <c r="B5" s="57" t="s">
        <v>371</v>
      </c>
      <c r="C5" s="58"/>
      <c r="D5" s="55"/>
      <c r="E5" s="55"/>
      <c r="F5" s="55"/>
    </row>
    <row r="6" spans="2:6" outlineLevel="1">
      <c r="B6" s="56"/>
      <c r="C6" s="56" t="s">
        <v>364</v>
      </c>
      <c r="D6" s="50">
        <v>125100</v>
      </c>
      <c r="E6" s="62">
        <v>130000</v>
      </c>
      <c r="F6" s="62">
        <v>120000</v>
      </c>
    </row>
    <row r="7" spans="2:6" outlineLevel="1">
      <c r="B7" s="56"/>
      <c r="C7" s="56" t="s">
        <v>365</v>
      </c>
      <c r="D7" s="50">
        <v>320</v>
      </c>
      <c r="E7" s="62">
        <v>450</v>
      </c>
      <c r="F7" s="62">
        <v>250</v>
      </c>
    </row>
    <row r="8" spans="2:6">
      <c r="B8" s="57" t="s">
        <v>373</v>
      </c>
      <c r="C8" s="58"/>
      <c r="D8" s="55"/>
      <c r="E8" s="55"/>
      <c r="F8" s="55"/>
    </row>
    <row r="9" spans="2:6" ht="17.25" outlineLevel="1" thickBot="1">
      <c r="B9" s="59"/>
      <c r="C9" s="59" t="s">
        <v>366</v>
      </c>
      <c r="D9" s="51">
        <v>7088480</v>
      </c>
      <c r="E9" s="51">
        <v>23265000</v>
      </c>
      <c r="F9" s="51">
        <v>-1700000</v>
      </c>
    </row>
    <row r="10" spans="2:6">
      <c r="B10" t="s">
        <v>374</v>
      </c>
    </row>
    <row r="11" spans="2:6">
      <c r="B11" t="s">
        <v>375</v>
      </c>
    </row>
    <row r="12" spans="2:6">
      <c r="B12" t="s">
        <v>376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B15" sqref="B15"/>
    </sheetView>
  </sheetViews>
  <sheetFormatPr defaultRowHeight="16.5"/>
  <cols>
    <col min="1" max="1" width="11.25" customWidth="1"/>
    <col min="2" max="2" width="14.625" customWidth="1"/>
  </cols>
  <sheetData>
    <row r="1" spans="1:3" ht="20.25">
      <c r="A1" s="16" t="s">
        <v>255</v>
      </c>
      <c r="B1" s="16"/>
      <c r="C1" s="16"/>
    </row>
    <row r="2" spans="1:3">
      <c r="A2" s="1"/>
      <c r="B2" s="1"/>
      <c r="C2" s="1"/>
    </row>
    <row r="3" spans="1:3">
      <c r="A3" s="8" t="s">
        <v>256</v>
      </c>
      <c r="B3" s="8" t="s">
        <v>257</v>
      </c>
      <c r="C3" s="1"/>
    </row>
    <row r="4" spans="1:3">
      <c r="A4" s="8" t="s">
        <v>258</v>
      </c>
      <c r="B4" s="11">
        <v>38000</v>
      </c>
      <c r="C4" s="1"/>
    </row>
    <row r="5" spans="1:3">
      <c r="A5" s="8" t="s">
        <v>259</v>
      </c>
      <c r="B5" s="11">
        <v>550</v>
      </c>
      <c r="C5" s="1"/>
    </row>
    <row r="6" spans="1:3">
      <c r="A6" s="8" t="s">
        <v>119</v>
      </c>
      <c r="B6" s="11">
        <v>125100</v>
      </c>
      <c r="C6" s="1"/>
    </row>
    <row r="7" spans="1:3">
      <c r="A7" s="8" t="s">
        <v>107</v>
      </c>
      <c r="B7" s="11">
        <v>320</v>
      </c>
      <c r="C7" s="1"/>
    </row>
    <row r="8" spans="1:3">
      <c r="A8" s="8" t="s">
        <v>260</v>
      </c>
      <c r="B8" s="11">
        <f>B5-B7</f>
        <v>230</v>
      </c>
      <c r="C8" s="1"/>
    </row>
    <row r="9" spans="1:3">
      <c r="A9" s="8" t="s">
        <v>261</v>
      </c>
      <c r="B9" s="11">
        <f>B6*B7</f>
        <v>40032000</v>
      </c>
      <c r="C9" s="1"/>
    </row>
    <row r="10" spans="1:3">
      <c r="A10" s="17"/>
      <c r="B10" s="18"/>
      <c r="C10" s="1"/>
    </row>
    <row r="11" spans="1:3">
      <c r="A11" s="8" t="s">
        <v>262</v>
      </c>
      <c r="B11" s="11">
        <v>3000000</v>
      </c>
      <c r="C11" s="1"/>
    </row>
    <row r="12" spans="1:3">
      <c r="A12" s="8" t="s">
        <v>263</v>
      </c>
      <c r="B12" s="11">
        <v>4000000</v>
      </c>
      <c r="C12" s="1"/>
    </row>
    <row r="13" spans="1:3">
      <c r="A13" s="8" t="s">
        <v>264</v>
      </c>
      <c r="B13" s="11">
        <f>B7*2000</f>
        <v>640000</v>
      </c>
      <c r="C13" s="1"/>
    </row>
    <row r="14" spans="1:3">
      <c r="A14" s="8" t="s">
        <v>265</v>
      </c>
      <c r="B14" s="11">
        <f>B9*11%</f>
        <v>4403520</v>
      </c>
      <c r="C14" s="1"/>
    </row>
    <row r="15" spans="1:3">
      <c r="A15" s="8" t="s">
        <v>266</v>
      </c>
      <c r="B15" s="11">
        <f>B9-(B4*B5)-SUM(B11:B14)</f>
        <v>7088480</v>
      </c>
      <c r="C15" s="1"/>
    </row>
    <row r="16" spans="1:3">
      <c r="A16" s="1"/>
      <c r="B16" s="1"/>
      <c r="C16" s="1"/>
    </row>
  </sheetData>
  <scenarios current="1" sqref="B15">
    <scenario name="판매가판매량증가" locked="1" count="2" user="user" comment="만든 사람 user 날짜 2023-08-31">
      <inputCells r="B6" val="130000" numFmtId="41"/>
      <inputCells r="B7" val="450" numFmtId="41"/>
    </scenario>
    <scenario name="판매가판매량감소" locked="1" count="2" user="user" comment="만든 사람 user 날짜 2023-08-31">
      <inputCells r="B6" val="120000" numFmtId="41"/>
      <inputCells r="B7" val="250" numFmtId="41"/>
    </scenario>
  </scenarios>
  <dataConsolidate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H20" sqref="H20"/>
    </sheetView>
  </sheetViews>
  <sheetFormatPr defaultRowHeight="16.5"/>
  <cols>
    <col min="2" max="2" width="11.375" customWidth="1"/>
    <col min="3" max="3" width="11" customWidth="1"/>
    <col min="4" max="8" width="9.875" customWidth="1"/>
  </cols>
  <sheetData>
    <row r="1" spans="1:9">
      <c r="A1" s="19" t="s">
        <v>267</v>
      </c>
      <c r="B1" s="19"/>
      <c r="C1" s="19"/>
      <c r="D1" s="19"/>
      <c r="E1" s="19"/>
      <c r="F1" s="19"/>
      <c r="G1" s="19"/>
      <c r="H1" s="19"/>
      <c r="I1" s="19"/>
    </row>
    <row r="2" spans="1:9">
      <c r="A2" s="19"/>
      <c r="B2" s="19"/>
      <c r="C2" s="19"/>
      <c r="D2" s="19"/>
      <c r="E2" s="19"/>
      <c r="F2" s="19"/>
      <c r="G2" s="19"/>
      <c r="H2" s="20" t="s">
        <v>268</v>
      </c>
      <c r="I2" s="19"/>
    </row>
    <row r="3" spans="1:9">
      <c r="A3" s="64" t="s">
        <v>269</v>
      </c>
      <c r="B3" s="64" t="s">
        <v>270</v>
      </c>
      <c r="C3" s="64" t="s">
        <v>271</v>
      </c>
      <c r="D3" s="64" t="s">
        <v>272</v>
      </c>
      <c r="E3" s="64" t="s">
        <v>273</v>
      </c>
      <c r="F3" s="64" t="s">
        <v>274</v>
      </c>
      <c r="G3" s="64" t="s">
        <v>275</v>
      </c>
      <c r="H3" s="64" t="s">
        <v>276</v>
      </c>
      <c r="I3" s="19"/>
    </row>
    <row r="4" spans="1:9">
      <c r="A4" s="21" t="s">
        <v>277</v>
      </c>
      <c r="B4" s="21" t="s">
        <v>278</v>
      </c>
      <c r="C4" s="21" t="s">
        <v>279</v>
      </c>
      <c r="D4" s="14">
        <v>12500</v>
      </c>
      <c r="E4" s="14">
        <v>11300</v>
      </c>
      <c r="F4" s="14">
        <v>9800</v>
      </c>
      <c r="G4" s="14">
        <v>12800</v>
      </c>
      <c r="H4" s="22">
        <f>SUM(D4:G4)</f>
        <v>46400</v>
      </c>
      <c r="I4" s="19"/>
    </row>
    <row r="5" spans="1:9">
      <c r="A5" s="21" t="s">
        <v>280</v>
      </c>
      <c r="B5" s="21" t="s">
        <v>281</v>
      </c>
      <c r="C5" s="21" t="s">
        <v>282</v>
      </c>
      <c r="D5" s="14">
        <v>27000</v>
      </c>
      <c r="E5" s="14">
        <v>25000</v>
      </c>
      <c r="F5" s="14">
        <v>28900</v>
      </c>
      <c r="G5" s="14">
        <v>31500</v>
      </c>
      <c r="H5" s="22">
        <f t="shared" ref="H5:H11" si="0">SUM(D5:G5)</f>
        <v>112400</v>
      </c>
      <c r="I5" s="19"/>
    </row>
    <row r="6" spans="1:9">
      <c r="A6" s="21" t="s">
        <v>283</v>
      </c>
      <c r="B6" s="21" t="s">
        <v>284</v>
      </c>
      <c r="C6" s="21" t="s">
        <v>285</v>
      </c>
      <c r="D6" s="14">
        <v>20790</v>
      </c>
      <c r="E6" s="14">
        <v>18900</v>
      </c>
      <c r="F6" s="14">
        <v>22980</v>
      </c>
      <c r="G6" s="14">
        <v>19020</v>
      </c>
      <c r="H6" s="22">
        <f t="shared" si="0"/>
        <v>81690</v>
      </c>
      <c r="I6" s="19"/>
    </row>
    <row r="7" spans="1:9">
      <c r="A7" s="21" t="s">
        <v>286</v>
      </c>
      <c r="B7" s="21" t="s">
        <v>287</v>
      </c>
      <c r="C7" s="21" t="s">
        <v>288</v>
      </c>
      <c r="D7" s="14">
        <v>19800</v>
      </c>
      <c r="E7" s="14">
        <v>17500</v>
      </c>
      <c r="F7" s="14">
        <v>23800</v>
      </c>
      <c r="G7" s="14">
        <v>31600</v>
      </c>
      <c r="H7" s="22">
        <f t="shared" si="0"/>
        <v>92700</v>
      </c>
      <c r="I7" s="19"/>
    </row>
    <row r="8" spans="1:9">
      <c r="A8" s="21" t="s">
        <v>289</v>
      </c>
      <c r="B8" s="21" t="s">
        <v>290</v>
      </c>
      <c r="C8" s="21" t="s">
        <v>279</v>
      </c>
      <c r="D8" s="14">
        <v>16820</v>
      </c>
      <c r="E8" s="14">
        <v>17290</v>
      </c>
      <c r="F8" s="14">
        <v>19240</v>
      </c>
      <c r="G8" s="14">
        <v>20160</v>
      </c>
      <c r="H8" s="22">
        <f t="shared" si="0"/>
        <v>73510</v>
      </c>
      <c r="I8" s="19"/>
    </row>
    <row r="9" spans="1:9">
      <c r="A9" s="21" t="s">
        <v>291</v>
      </c>
      <c r="B9" s="21" t="s">
        <v>292</v>
      </c>
      <c r="C9" s="21" t="s">
        <v>285</v>
      </c>
      <c r="D9" s="14">
        <v>9740</v>
      </c>
      <c r="E9" s="14">
        <v>13800</v>
      </c>
      <c r="F9" s="14">
        <v>17320</v>
      </c>
      <c r="G9" s="14">
        <v>19730</v>
      </c>
      <c r="H9" s="22">
        <f t="shared" si="0"/>
        <v>60590</v>
      </c>
      <c r="I9" s="19"/>
    </row>
    <row r="10" spans="1:9">
      <c r="A10" s="21" t="s">
        <v>293</v>
      </c>
      <c r="B10" s="21" t="s">
        <v>287</v>
      </c>
      <c r="C10" s="21" t="s">
        <v>282</v>
      </c>
      <c r="D10" s="14">
        <v>23900</v>
      </c>
      <c r="E10" s="14">
        <v>31200</v>
      </c>
      <c r="F10" s="14">
        <v>28000</v>
      </c>
      <c r="G10" s="14">
        <v>24500</v>
      </c>
      <c r="H10" s="22">
        <f t="shared" si="0"/>
        <v>107600</v>
      </c>
      <c r="I10" s="19"/>
    </row>
    <row r="11" spans="1:9">
      <c r="A11" s="21" t="s">
        <v>294</v>
      </c>
      <c r="B11" s="21" t="s">
        <v>295</v>
      </c>
      <c r="C11" s="21" t="s">
        <v>296</v>
      </c>
      <c r="D11" s="14">
        <v>30200</v>
      </c>
      <c r="E11" s="14">
        <v>17300</v>
      </c>
      <c r="F11" s="14">
        <v>28700</v>
      </c>
      <c r="G11" s="14">
        <v>35900</v>
      </c>
      <c r="H11" s="22">
        <f t="shared" si="0"/>
        <v>112100</v>
      </c>
      <c r="I11" s="19"/>
    </row>
    <row r="12" spans="1:9">
      <c r="A12" s="42" t="s">
        <v>297</v>
      </c>
      <c r="B12" s="42"/>
      <c r="C12" s="42"/>
      <c r="D12" s="14">
        <f>AVERAGE(D4:D11)</f>
        <v>20093.75</v>
      </c>
      <c r="E12" s="14">
        <f t="shared" ref="E12:H12" si="1">AVERAGE(E4:E11)</f>
        <v>19036.25</v>
      </c>
      <c r="F12" s="14">
        <f t="shared" si="1"/>
        <v>22342.5</v>
      </c>
      <c r="G12" s="14">
        <f t="shared" si="1"/>
        <v>24401.25</v>
      </c>
      <c r="H12" s="14">
        <f t="shared" si="1"/>
        <v>85873.75</v>
      </c>
      <c r="I12" s="19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</sheetData>
  <mergeCells count="1">
    <mergeCell ref="A12:C1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K24" sqref="K24"/>
    </sheetView>
  </sheetViews>
  <sheetFormatPr defaultRowHeight="16.5"/>
  <cols>
    <col min="1" max="4" width="11.375" customWidth="1"/>
  </cols>
  <sheetData>
    <row r="1" spans="1:4">
      <c r="A1" s="1" t="s">
        <v>298</v>
      </c>
      <c r="B1" s="1"/>
      <c r="C1" s="1"/>
      <c r="D1" s="1"/>
    </row>
    <row r="2" spans="1:4">
      <c r="A2" s="1"/>
      <c r="B2" s="1"/>
      <c r="C2" s="1"/>
      <c r="D2" s="1"/>
    </row>
    <row r="3" spans="1:4">
      <c r="A3" s="23" t="s">
        <v>299</v>
      </c>
      <c r="B3" s="23" t="s">
        <v>300</v>
      </c>
      <c r="C3" s="23" t="s">
        <v>301</v>
      </c>
      <c r="D3" s="23" t="s">
        <v>302</v>
      </c>
    </row>
    <row r="4" spans="1:4">
      <c r="A4" s="24">
        <v>1</v>
      </c>
      <c r="B4" s="8" t="s">
        <v>303</v>
      </c>
      <c r="C4" s="25">
        <v>3693</v>
      </c>
      <c r="D4" s="26">
        <v>2037</v>
      </c>
    </row>
    <row r="5" spans="1:4">
      <c r="A5" s="24">
        <v>2</v>
      </c>
      <c r="B5" s="8" t="s">
        <v>304</v>
      </c>
      <c r="C5" s="25">
        <v>192</v>
      </c>
      <c r="D5" s="25">
        <v>368</v>
      </c>
    </row>
    <row r="6" spans="1:4">
      <c r="A6" s="24">
        <v>3</v>
      </c>
      <c r="B6" s="27" t="s">
        <v>305</v>
      </c>
      <c r="C6" s="25">
        <v>428</v>
      </c>
      <c r="D6" s="28">
        <v>192</v>
      </c>
    </row>
    <row r="7" spans="1:4">
      <c r="A7" s="24">
        <v>4</v>
      </c>
      <c r="B7" s="8" t="s">
        <v>306</v>
      </c>
      <c r="C7" s="25">
        <v>1012</v>
      </c>
      <c r="D7" s="28">
        <v>1280</v>
      </c>
    </row>
    <row r="8" spans="1:4">
      <c r="A8" s="24">
        <v>5</v>
      </c>
      <c r="B8" s="13" t="s">
        <v>307</v>
      </c>
      <c r="C8" s="29">
        <v>229</v>
      </c>
      <c r="D8" s="25">
        <v>947</v>
      </c>
    </row>
    <row r="9" spans="1:4">
      <c r="A9" s="24">
        <v>6</v>
      </c>
      <c r="B9" s="13" t="s">
        <v>308</v>
      </c>
      <c r="C9" s="29">
        <v>473</v>
      </c>
      <c r="D9" s="25">
        <v>284</v>
      </c>
    </row>
    <row r="10" spans="1:4">
      <c r="A10" s="24">
        <v>7</v>
      </c>
      <c r="B10" s="13" t="s">
        <v>309</v>
      </c>
      <c r="C10" s="29">
        <v>68</v>
      </c>
      <c r="D10" s="25">
        <v>1038</v>
      </c>
    </row>
    <row r="11" spans="1:4">
      <c r="A11" s="24">
        <v>8</v>
      </c>
      <c r="B11" s="13" t="s">
        <v>310</v>
      </c>
      <c r="C11" s="29">
        <v>1756</v>
      </c>
      <c r="D11" s="25">
        <v>1705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순이익총액</vt:lpstr>
      <vt:lpstr>전화번호</vt:lpstr>
      <vt:lpstr>판매가</vt:lpstr>
      <vt:lpstr>판매량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2023-08-30T23:41:31Z</dcterms:modified>
</cp:coreProperties>
</file>