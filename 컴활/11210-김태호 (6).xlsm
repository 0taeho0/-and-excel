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31935" windowHeight="15300" tabRatio="858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매크로작업" sheetId="6" r:id="rId7"/>
    <sheet name="차트작업" sheetId="7" r:id="rId8"/>
  </sheets>
  <definedNames>
    <definedName name="_xlnm._FilterDatabase" localSheetId="2" hidden="1">'기본작업-3'!$A$3:$H$17</definedName>
    <definedName name="_xlnm.Criteria" localSheetId="2">'기본작업-3'!$A$20:$B$22</definedName>
    <definedName name="_xlnm.Extract" localSheetId="2">'기본작업-3'!$A$25:$H$25</definedName>
  </definedNames>
  <calcPr calcId="162913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6" l="1"/>
  <c r="F9" i="6"/>
  <c r="F8" i="6"/>
  <c r="F7" i="6"/>
  <c r="F6" i="6"/>
  <c r="F5" i="6"/>
  <c r="F4" i="6"/>
  <c r="E29" i="3"/>
  <c r="E30" i="3"/>
  <c r="E31" i="3"/>
  <c r="E32" i="3"/>
  <c r="E33" i="3"/>
  <c r="E34" i="3"/>
  <c r="E35" i="3"/>
  <c r="E28" i="3"/>
  <c r="J17" i="3"/>
  <c r="J18" i="3"/>
  <c r="J19" i="3"/>
  <c r="J20" i="3"/>
  <c r="J21" i="3"/>
  <c r="J22" i="3"/>
  <c r="J23" i="3"/>
  <c r="J24" i="3"/>
  <c r="J16" i="3"/>
  <c r="J4" i="3"/>
  <c r="J5" i="3"/>
  <c r="J6" i="3"/>
  <c r="J7" i="3"/>
  <c r="J8" i="3"/>
  <c r="J9" i="3"/>
  <c r="J10" i="3"/>
  <c r="J11" i="3"/>
  <c r="J12" i="3"/>
  <c r="J3" i="3"/>
  <c r="E12" i="3"/>
  <c r="F17" i="3"/>
  <c r="F18" i="3"/>
  <c r="F19" i="3"/>
  <c r="F20" i="3"/>
  <c r="F21" i="3"/>
  <c r="F22" i="3"/>
  <c r="F23" i="3"/>
  <c r="F24" i="3"/>
  <c r="F16" i="3"/>
  <c r="E8" i="7" l="1"/>
  <c r="E7" i="7"/>
  <c r="E6" i="7"/>
  <c r="E5" i="7"/>
  <c r="E4" i="7"/>
  <c r="B3" i="5" l="1"/>
  <c r="E3" i="5" s="1"/>
  <c r="D35" i="3"/>
  <c r="D29" i="3" l="1"/>
  <c r="D30" i="3"/>
  <c r="D31" i="3"/>
  <c r="D32" i="3"/>
  <c r="D33" i="3"/>
  <c r="D34" i="3"/>
  <c r="D28" i="3"/>
</calcChain>
</file>

<file path=xl/sharedStrings.xml><?xml version="1.0" encoding="utf-8"?>
<sst xmlns="http://schemas.openxmlformats.org/spreadsheetml/2006/main" count="404" uniqueCount="277">
  <si>
    <t>상공홈쇼핑 5월 판매현황</t>
    <phoneticPr fontId="1" type="noConversion"/>
  </si>
  <si>
    <t>2분기</t>
  </si>
  <si>
    <t>3분기</t>
  </si>
  <si>
    <t>4분기</t>
  </si>
  <si>
    <t>사원</t>
  </si>
  <si>
    <t>사원명</t>
  </si>
  <si>
    <t>성별</t>
  </si>
  <si>
    <t>남</t>
  </si>
  <si>
    <t>여</t>
  </si>
  <si>
    <t>[표1]</t>
    <phoneticPr fontId="1" type="noConversion"/>
  </si>
  <si>
    <t>신입사원 채용결과</t>
  </si>
  <si>
    <t>[표2]</t>
  </si>
  <si>
    <t>응시번호</t>
  </si>
  <si>
    <t>이름</t>
  </si>
  <si>
    <t>회원명</t>
  </si>
  <si>
    <t>가입년도</t>
  </si>
  <si>
    <t>주민등록번호</t>
  </si>
  <si>
    <t>21A101</t>
  </si>
  <si>
    <t>2018년</t>
  </si>
  <si>
    <t>21A102</t>
  </si>
  <si>
    <t>2016년</t>
  </si>
  <si>
    <t>21A103</t>
  </si>
  <si>
    <t>2019년</t>
  </si>
  <si>
    <t>21A104</t>
  </si>
  <si>
    <t>21A105</t>
  </si>
  <si>
    <t>2017년</t>
  </si>
  <si>
    <t>21A106</t>
  </si>
  <si>
    <t>21A107</t>
  </si>
  <si>
    <t>21A108</t>
  </si>
  <si>
    <t>21A109</t>
  </si>
  <si>
    <t>송주혜</t>
  </si>
  <si>
    <t>931214-2******</t>
  </si>
  <si>
    <t>황소민</t>
  </si>
  <si>
    <t>970922-2******</t>
  </si>
  <si>
    <t>[표3]</t>
  </si>
  <si>
    <t>[표4]</t>
  </si>
  <si>
    <t>제품 생산 현황</t>
  </si>
  <si>
    <t>수강자명</t>
  </si>
  <si>
    <t>1주차</t>
  </si>
  <si>
    <t>2주차</t>
  </si>
  <si>
    <t>3주차</t>
  </si>
  <si>
    <t>4주차</t>
  </si>
  <si>
    <t>출석률</t>
    <phoneticPr fontId="1" type="noConversion"/>
  </si>
  <si>
    <t>분류</t>
  </si>
  <si>
    <t>생산일자</t>
  </si>
  <si>
    <t>O</t>
  </si>
  <si>
    <t>com</t>
  </si>
  <si>
    <t>mou</t>
  </si>
  <si>
    <t>key</t>
  </si>
  <si>
    <t>김선호</t>
  </si>
  <si>
    <t>[표5]</t>
  </si>
  <si>
    <t>순위</t>
  </si>
  <si>
    <t>기본급</t>
  </si>
  <si>
    <t>수당</t>
  </si>
  <si>
    <t>세금</t>
  </si>
  <si>
    <t>실수령액</t>
  </si>
  <si>
    <t>직원명</t>
    <phoneticPr fontId="1" type="noConversion"/>
  </si>
  <si>
    <t>직위</t>
    <phoneticPr fontId="1" type="noConversion"/>
  </si>
  <si>
    <t>분기</t>
    <phoneticPr fontId="1" type="noConversion"/>
  </si>
  <si>
    <t>합계</t>
    <phoneticPr fontId="1" type="noConversion"/>
  </si>
  <si>
    <t>판매총액</t>
    <phoneticPr fontId="1" type="noConversion"/>
  </si>
  <si>
    <t>1분기</t>
    <phoneticPr fontId="1" type="noConversion"/>
  </si>
  <si>
    <t>이유진</t>
    <phoneticPr fontId="1" type="noConversion"/>
  </si>
  <si>
    <t>부장</t>
    <phoneticPr fontId="1" type="noConversion"/>
  </si>
  <si>
    <t>김한나</t>
    <phoneticPr fontId="1" type="noConversion"/>
  </si>
  <si>
    <t>차장</t>
    <phoneticPr fontId="1" type="noConversion"/>
  </si>
  <si>
    <t>이도원</t>
    <phoneticPr fontId="1" type="noConversion"/>
  </si>
  <si>
    <t>민병욱</t>
    <phoneticPr fontId="1" type="noConversion"/>
  </si>
  <si>
    <t>과장</t>
    <phoneticPr fontId="1" type="noConversion"/>
  </si>
  <si>
    <t>최영록</t>
    <phoneticPr fontId="1" type="noConversion"/>
  </si>
  <si>
    <t>김민숙</t>
    <phoneticPr fontId="1" type="noConversion"/>
  </si>
  <si>
    <t>대리</t>
    <phoneticPr fontId="1" type="noConversion"/>
  </si>
  <si>
    <t>오안국</t>
    <phoneticPr fontId="1" type="noConversion"/>
  </si>
  <si>
    <t>성경용</t>
    <phoneticPr fontId="1" type="noConversion"/>
  </si>
  <si>
    <t>한철수</t>
    <phoneticPr fontId="1" type="noConversion"/>
  </si>
  <si>
    <t>강영미</t>
    <phoneticPr fontId="1" type="noConversion"/>
  </si>
  <si>
    <t>사원명</t>
    <phoneticPr fontId="1" type="noConversion"/>
  </si>
  <si>
    <t>부서명</t>
    <phoneticPr fontId="1" type="noConversion"/>
  </si>
  <si>
    <t>직급</t>
    <phoneticPr fontId="1" type="noConversion"/>
  </si>
  <si>
    <t>기본급</t>
    <phoneticPr fontId="1" type="noConversion"/>
  </si>
  <si>
    <t>식비&amp;교통비</t>
    <phoneticPr fontId="1" type="noConversion"/>
  </si>
  <si>
    <t>특별수당</t>
    <phoneticPr fontId="1" type="noConversion"/>
  </si>
  <si>
    <t>세금</t>
    <phoneticPr fontId="1" type="noConversion"/>
  </si>
  <si>
    <t>지급액</t>
    <phoneticPr fontId="1" type="noConversion"/>
  </si>
  <si>
    <t>강정호</t>
    <phoneticPr fontId="1" type="noConversion"/>
  </si>
  <si>
    <t>영업부</t>
    <phoneticPr fontId="1" type="noConversion"/>
  </si>
  <si>
    <t>김강인</t>
    <phoneticPr fontId="1" type="noConversion"/>
  </si>
  <si>
    <t>홍보부</t>
    <phoneticPr fontId="1" type="noConversion"/>
  </si>
  <si>
    <t>사원</t>
    <phoneticPr fontId="1" type="noConversion"/>
  </si>
  <si>
    <t>김민규</t>
    <phoneticPr fontId="1" type="noConversion"/>
  </si>
  <si>
    <t>영업부</t>
    <phoneticPr fontId="1" type="noConversion"/>
  </si>
  <si>
    <t>김안중</t>
    <phoneticPr fontId="1" type="noConversion"/>
  </si>
  <si>
    <t>대리</t>
    <phoneticPr fontId="1" type="noConversion"/>
  </si>
  <si>
    <t>김영자</t>
    <phoneticPr fontId="1" type="noConversion"/>
  </si>
  <si>
    <t>기획부</t>
    <phoneticPr fontId="1" type="noConversion"/>
  </si>
  <si>
    <t>서인숙</t>
    <phoneticPr fontId="1" type="noConversion"/>
  </si>
  <si>
    <t>홍보부</t>
    <phoneticPr fontId="1" type="noConversion"/>
  </si>
  <si>
    <t>사원</t>
    <phoneticPr fontId="1" type="noConversion"/>
  </si>
  <si>
    <t>손영희</t>
    <phoneticPr fontId="1" type="noConversion"/>
  </si>
  <si>
    <t>홍보부</t>
    <phoneticPr fontId="1" type="noConversion"/>
  </si>
  <si>
    <t>과장</t>
    <phoneticPr fontId="1" type="noConversion"/>
  </si>
  <si>
    <t>송지은</t>
    <phoneticPr fontId="1" type="noConversion"/>
  </si>
  <si>
    <t>부장</t>
    <phoneticPr fontId="1" type="noConversion"/>
  </si>
  <si>
    <t>안철수</t>
    <phoneticPr fontId="1" type="noConversion"/>
  </si>
  <si>
    <t>기획부</t>
    <phoneticPr fontId="1" type="noConversion"/>
  </si>
  <si>
    <t>이소라</t>
    <phoneticPr fontId="1" type="noConversion"/>
  </si>
  <si>
    <t>사원</t>
    <phoneticPr fontId="1" type="noConversion"/>
  </si>
  <si>
    <t>임지연</t>
    <phoneticPr fontId="1" type="noConversion"/>
  </si>
  <si>
    <t>정인혜</t>
    <phoneticPr fontId="1" type="noConversion"/>
  </si>
  <si>
    <t>정청수</t>
    <phoneticPr fontId="1" type="noConversion"/>
  </si>
  <si>
    <t>대리</t>
    <phoneticPr fontId="1" type="noConversion"/>
  </si>
  <si>
    <t>지승용</t>
    <phoneticPr fontId="1" type="noConversion"/>
  </si>
  <si>
    <t>한사영</t>
    <phoneticPr fontId="1" type="noConversion"/>
  </si>
  <si>
    <t>영업부</t>
    <phoneticPr fontId="1" type="noConversion"/>
  </si>
  <si>
    <t>회원 현황</t>
    <phoneticPr fontId="1" type="noConversion"/>
  </si>
  <si>
    <t>서류</t>
    <phoneticPr fontId="1" type="noConversion"/>
  </si>
  <si>
    <t>시험</t>
    <phoneticPr fontId="1" type="noConversion"/>
  </si>
  <si>
    <t>성별</t>
    <phoneticPr fontId="1" type="noConversion"/>
  </si>
  <si>
    <t>박영덕</t>
  </si>
  <si>
    <t>이민영</t>
  </si>
  <si>
    <t>990218-2******</t>
    <phoneticPr fontId="1" type="noConversion"/>
  </si>
  <si>
    <t>주민경</t>
  </si>
  <si>
    <t>도홍진</t>
  </si>
  <si>
    <t>010802-3******</t>
    <phoneticPr fontId="1" type="noConversion"/>
  </si>
  <si>
    <t>태진형</t>
  </si>
  <si>
    <t>박수진</t>
  </si>
  <si>
    <t>011115-4******</t>
    <phoneticPr fontId="1" type="noConversion"/>
  </si>
  <si>
    <t>최민수</t>
  </si>
  <si>
    <t>최만수</t>
  </si>
  <si>
    <t>980723-1******</t>
    <phoneticPr fontId="1" type="noConversion"/>
  </si>
  <si>
    <t>김평주</t>
  </si>
  <si>
    <t>조용덕</t>
  </si>
  <si>
    <t>991225-1******</t>
    <phoneticPr fontId="1" type="noConversion"/>
  </si>
  <si>
    <t>한서라</t>
  </si>
  <si>
    <t>여</t>
    <phoneticPr fontId="1" type="noConversion"/>
  </si>
  <si>
    <t>김태훈</t>
  </si>
  <si>
    <t>021222-3******</t>
    <phoneticPr fontId="1" type="noConversion"/>
  </si>
  <si>
    <t>이국선</t>
  </si>
  <si>
    <t>남</t>
    <phoneticPr fontId="1" type="noConversion"/>
  </si>
  <si>
    <t>편승주</t>
  </si>
  <si>
    <t>010123-3******</t>
    <phoneticPr fontId="1" type="noConversion"/>
  </si>
  <si>
    <t>민기영</t>
  </si>
  <si>
    <t>곽나래</t>
  </si>
  <si>
    <t>001015-4******</t>
    <phoneticPr fontId="1" type="noConversion"/>
  </si>
  <si>
    <t>박소연</t>
  </si>
  <si>
    <t>합격자수</t>
    <phoneticPr fontId="1" type="noConversion"/>
  </si>
  <si>
    <t>출석현황</t>
    <phoneticPr fontId="1" type="noConversion"/>
  </si>
  <si>
    <t>제품코드</t>
    <phoneticPr fontId="1" type="noConversion"/>
  </si>
  <si>
    <t>이후정</t>
  </si>
  <si>
    <t>백천경</t>
  </si>
  <si>
    <t>민경배</t>
  </si>
  <si>
    <t>김태하</t>
  </si>
  <si>
    <t>이사랑</t>
  </si>
  <si>
    <t>곽난영</t>
  </si>
  <si>
    <t>장채리</t>
  </si>
  <si>
    <t>봉전미</t>
  </si>
  <si>
    <t>3학년 성적결과</t>
    <phoneticPr fontId="1" type="noConversion"/>
  </si>
  <si>
    <t>성명</t>
  </si>
  <si>
    <t>중간고사</t>
  </si>
  <si>
    <t>기말고사</t>
  </si>
  <si>
    <t>김미정</t>
  </si>
  <si>
    <t>서진수</t>
  </si>
  <si>
    <t>박주영</t>
  </si>
  <si>
    <t>원영현</t>
  </si>
  <si>
    <t>오선영</t>
  </si>
  <si>
    <t>최은미</t>
  </si>
  <si>
    <t>박진희</t>
  </si>
  <si>
    <t>평균</t>
    <phoneticPr fontId="1" type="noConversion"/>
  </si>
  <si>
    <t>&lt;등급표&gt;</t>
    <phoneticPr fontId="1" type="noConversion"/>
  </si>
  <si>
    <t>등급</t>
    <phoneticPr fontId="1" type="noConversion"/>
  </si>
  <si>
    <t>오은경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</si>
  <si>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</si>
  <si>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</si>
  <si>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</si>
  <si>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</si>
  <si>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등급</t>
    <phoneticPr fontId="1" type="noConversion"/>
  </si>
  <si>
    <t>급여명세서</t>
    <phoneticPr fontId="1" type="noConversion"/>
  </si>
  <si>
    <t>정기적금</t>
  </si>
  <si>
    <t>기간(년)</t>
    <phoneticPr fontId="1" type="noConversion"/>
  </si>
  <si>
    <t>TV</t>
    <phoneticPr fontId="1" type="noConversion"/>
  </si>
  <si>
    <t>팀명</t>
    <phoneticPr fontId="1" type="noConversion"/>
  </si>
  <si>
    <t>직책</t>
    <phoneticPr fontId="1" type="noConversion"/>
  </si>
  <si>
    <t>년차</t>
    <phoneticPr fontId="1" type="noConversion"/>
  </si>
  <si>
    <t>김대희</t>
    <phoneticPr fontId="1" type="noConversion"/>
  </si>
  <si>
    <t>인사팀</t>
    <phoneticPr fontId="1" type="noConversion"/>
  </si>
  <si>
    <t>팀장</t>
    <phoneticPr fontId="1" type="noConversion"/>
  </si>
  <si>
    <t>서여진</t>
    <phoneticPr fontId="1" type="noConversion"/>
  </si>
  <si>
    <t>인사팀</t>
    <phoneticPr fontId="1" type="noConversion"/>
  </si>
  <si>
    <t>책임</t>
    <phoneticPr fontId="1" type="noConversion"/>
  </si>
  <si>
    <t>최진호</t>
    <phoneticPr fontId="1" type="noConversion"/>
  </si>
  <si>
    <t>인사팀</t>
    <phoneticPr fontId="1" type="noConversion"/>
  </si>
  <si>
    <t>선임</t>
    <phoneticPr fontId="1" type="noConversion"/>
  </si>
  <si>
    <t>이주연</t>
    <phoneticPr fontId="1" type="noConversion"/>
  </si>
  <si>
    <t>주임</t>
    <phoneticPr fontId="1" type="noConversion"/>
  </si>
  <si>
    <t>마인석</t>
    <phoneticPr fontId="1" type="noConversion"/>
  </si>
  <si>
    <t>재무팀</t>
    <phoneticPr fontId="1" type="noConversion"/>
  </si>
  <si>
    <t>재무팀</t>
    <phoneticPr fontId="1" type="noConversion"/>
  </si>
  <si>
    <t>팀장</t>
    <phoneticPr fontId="1" type="noConversion"/>
  </si>
  <si>
    <t>안나은</t>
    <phoneticPr fontId="1" type="noConversion"/>
  </si>
  <si>
    <t>책임</t>
    <phoneticPr fontId="1" type="noConversion"/>
  </si>
  <si>
    <t>민준희</t>
    <phoneticPr fontId="1" type="noConversion"/>
  </si>
  <si>
    <t>한수나</t>
    <phoneticPr fontId="1" type="noConversion"/>
  </si>
  <si>
    <t>주임</t>
    <phoneticPr fontId="1" type="noConversion"/>
  </si>
  <si>
    <t>최미진</t>
    <phoneticPr fontId="1" type="noConversion"/>
  </si>
  <si>
    <t>홍보팀</t>
    <phoneticPr fontId="1" type="noConversion"/>
  </si>
  <si>
    <t>김서연</t>
    <phoneticPr fontId="1" type="noConversion"/>
  </si>
  <si>
    <t>정유리</t>
    <phoneticPr fontId="1" type="noConversion"/>
  </si>
  <si>
    <t>유이지</t>
    <phoneticPr fontId="1" type="noConversion"/>
  </si>
  <si>
    <t>적립목표금액</t>
    <phoneticPr fontId="1" type="noConversion"/>
  </si>
  <si>
    <t>월불입액</t>
    <phoneticPr fontId="1" type="noConversion"/>
  </si>
  <si>
    <t>이자율(년)</t>
    <phoneticPr fontId="1" type="noConversion"/>
  </si>
  <si>
    <t>목표기간(년)</t>
    <phoneticPr fontId="1" type="noConversion"/>
  </si>
  <si>
    <t>드라마 주간 시청률</t>
    <phoneticPr fontId="1" type="noConversion"/>
  </si>
  <si>
    <t>(단위 : %)</t>
    <phoneticPr fontId="1" type="noConversion"/>
  </si>
  <si>
    <t>프로그램명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</si>
  <si>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</si>
  <si>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</si>
  <si>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</si>
  <si>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</si>
  <si>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평균</t>
    <phoneticPr fontId="1" type="noConversion"/>
  </si>
  <si>
    <t>케이 광자매</t>
    <phoneticPr fontId="1" type="noConversion"/>
  </si>
  <si>
    <t>해가 뜨는 강</t>
    <phoneticPr fontId="1" type="noConversion"/>
  </si>
  <si>
    <t>팬텀하우스</t>
    <phoneticPr fontId="1" type="noConversion"/>
  </si>
  <si>
    <t>반찬이 되어라</t>
    <phoneticPr fontId="1" type="noConversion"/>
  </si>
  <si>
    <t>누가 뭐라도</t>
    <phoneticPr fontId="1" type="noConversion"/>
  </si>
  <si>
    <t>미스터 몬테</t>
    <phoneticPr fontId="1" type="noConversion"/>
  </si>
  <si>
    <t>물새 2020</t>
    <phoneticPr fontId="1" type="noConversion"/>
  </si>
  <si>
    <t>가전제품 판매 목표/실적 현황</t>
    <phoneticPr fontId="1" type="noConversion"/>
  </si>
  <si>
    <t>제품명</t>
    <phoneticPr fontId="1" type="noConversion"/>
  </si>
  <si>
    <t>판매목표</t>
    <phoneticPr fontId="1" type="noConversion"/>
  </si>
  <si>
    <t>판매실적</t>
    <phoneticPr fontId="1" type="noConversion"/>
  </si>
  <si>
    <t>판매단가</t>
    <phoneticPr fontId="1" type="noConversion"/>
  </si>
  <si>
    <t>판매달성률</t>
    <phoneticPr fontId="1" type="noConversion"/>
  </si>
  <si>
    <t>냉장고</t>
    <phoneticPr fontId="1" type="noConversion"/>
  </si>
  <si>
    <t>드럼세탁기</t>
    <phoneticPr fontId="1" type="noConversion"/>
  </si>
  <si>
    <t>공기청정기</t>
    <phoneticPr fontId="1" type="noConversion"/>
  </si>
  <si>
    <t>무선청소기</t>
    <phoneticPr fontId="1" type="noConversion"/>
  </si>
  <si>
    <t>상공주식회사 4월 급여명세표</t>
    <phoneticPr fontId="1" type="noConversion"/>
  </si>
  <si>
    <t>월불입액</t>
    <phoneticPr fontId="1" type="noConversion"/>
  </si>
  <si>
    <t>♠직원별 제품 판매 현황♠</t>
    <phoneticPr fontId="1" type="noConversion"/>
  </si>
  <si>
    <t>&lt;3500000</t>
    <phoneticPr fontId="1" type="noConversion"/>
  </si>
  <si>
    <t>행 레이블</t>
  </si>
  <si>
    <t>선임</t>
  </si>
  <si>
    <t>주임</t>
  </si>
  <si>
    <t>책임</t>
  </si>
  <si>
    <t>팀장</t>
  </si>
  <si>
    <t>총합계</t>
  </si>
  <si>
    <t>열 레이블</t>
  </si>
  <si>
    <t>인사팀</t>
  </si>
  <si>
    <t>재무팀</t>
  </si>
  <si>
    <t>평균 : 실수령액</t>
  </si>
  <si>
    <t>구분</t>
  </si>
  <si>
    <t>판매코드</t>
  </si>
  <si>
    <t>상품명</t>
  </si>
  <si>
    <t>판매가격</t>
  </si>
  <si>
    <t>판매수량</t>
  </si>
  <si>
    <t>방송횟수</t>
  </si>
  <si>
    <t>간편식품</t>
  </si>
  <si>
    <t>KP-210</t>
  </si>
  <si>
    <t>수제영양밥</t>
  </si>
  <si>
    <t>3회</t>
  </si>
  <si>
    <t>KP-313</t>
  </si>
  <si>
    <t>명가갈비탕</t>
  </si>
  <si>
    <t>6회</t>
  </si>
  <si>
    <t>신선식품</t>
  </si>
  <si>
    <t>SS-110</t>
  </si>
  <si>
    <t>한돈생삼겹</t>
  </si>
  <si>
    <t>SS-121</t>
  </si>
  <si>
    <t>진도활전복</t>
  </si>
  <si>
    <t>4회</t>
  </si>
  <si>
    <t>건강식품</t>
  </si>
  <si>
    <t>KK-412</t>
  </si>
  <si>
    <t>홍삼엑기스</t>
  </si>
  <si>
    <t>5회</t>
  </si>
  <si>
    <t>KK-432</t>
  </si>
  <si>
    <t>ABC주스</t>
  </si>
  <si>
    <t>2회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</si>
</sst>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&quot;년&quot;"/>
    <numFmt numFmtId="178" formatCode="0.0"/>
    <numFmt numFmtId="179" formatCode="##,##0&quot;원&quot;"/>
    <numFmt numFmtId="180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"/>
      <family val="1"/>
      <charset val="129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9" fontId="0" fillId="0" borderId="1" xfId="3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3" borderId="1" xfId="4" applyBorder="1" applyAlignment="1">
      <alignment horizontal="center" vertical="center"/>
    </xf>
    <xf numFmtId="0" fontId="7" fillId="3" borderId="1" xfId="4" applyBorder="1" applyAlignment="1">
      <alignment horizontal="center" vertical="center"/>
    </xf>
    <xf numFmtId="0" fontId="7" fillId="3" borderId="2" xfId="4" applyBorder="1" applyAlignment="1">
      <alignment horizontal="center" vertical="center"/>
    </xf>
    <xf numFmtId="0" fontId="7" fillId="3" borderId="3" xfId="4" applyBorder="1" applyAlignment="1">
      <alignment horizontal="center" vertical="center"/>
    </xf>
    <xf numFmtId="0" fontId="7" fillId="3" borderId="4" xfId="4" applyBorder="1" applyAlignment="1">
      <alignment horizontal="center" vertical="center"/>
    </xf>
    <xf numFmtId="0" fontId="7" fillId="3" borderId="5" xfId="4" applyBorder="1" applyAlignment="1">
      <alignment horizontal="center" vertical="center"/>
    </xf>
    <xf numFmtId="0" fontId="7" fillId="3" borderId="6" xfId="4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9" fontId="0" fillId="0" borderId="6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>
      <alignment vertical="center"/>
    </xf>
    <xf numFmtId="179" fontId="0" fillId="0" borderId="9" xfId="0" applyNumberForma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0" fontId="0" fillId="0" borderId="0" xfId="0" applyNumberFormat="1">
      <alignment vertical="center"/>
    </xf>
    <xf numFmtId="0" fontId="6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</cellXfs>
  <cellStyles count="5">
    <cellStyle name="강조색6" xfId="4" builtinId="49"/>
    <cellStyle name="백분율" xfId="3" builtinId="5"/>
    <cellStyle name="쉼표 [0]" xfId="1" builtinId="6"/>
    <cellStyle name="통화 [0]" xfId="2" builtinId="7"/>
    <cellStyle name="표준" xfId="0" builtinId="0"/>
  </cellStyles>
  <dxfs count="6">
    <dxf>
      <numFmt numFmtId="180" formatCode="#,##0_ "/>
    </dxf>
    <dxf>
      <numFmt numFmtId="180" formatCode="#,##0_ "/>
    </dxf>
    <dxf>
      <numFmt numFmtId="180" formatCode="#,##0_ "/>
    </dxf>
    <dxf>
      <numFmt numFmtId="180" formatCode="#,##0_ "/>
    </dxf>
    <dxf>
      <numFmt numFmtId="180" formatCode="#,##0_ "/>
    </dxf>
    <dxf>
      <numFmt numFmtId="180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판매 목표</a:t>
            </a:r>
            <a:r>
              <a:rPr lang="en-US" altLang="ko-KR"/>
              <a:t>/</a:t>
            </a:r>
            <a:r>
              <a:rPr lang="ko-KR" altLang="en-US"/>
              <a:t>실적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판매목표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C24-4A5D-B452-15FE6F85AB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1050</c:v>
                </c:pt>
                <c:pt idx="1">
                  <c:v>1150</c:v>
                </c:pt>
                <c:pt idx="2">
                  <c:v>1250</c:v>
                </c:pt>
                <c:pt idx="3">
                  <c:v>950</c:v>
                </c:pt>
                <c:pt idx="4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E-47D8-802E-5540312BAC7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판매실적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DC24-4A5D-B452-15FE6F85AB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995</c:v>
                </c:pt>
                <c:pt idx="1">
                  <c:v>1209</c:v>
                </c:pt>
                <c:pt idx="2">
                  <c:v>1342</c:v>
                </c:pt>
                <c:pt idx="3">
                  <c:v>982</c:v>
                </c:pt>
                <c:pt idx="4">
                  <c:v>1320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E-47D8-802E-5540312BA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0731024"/>
        <c:axId val="79133289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판매단가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차트작업!$A$4:$A$8</c15:sqref>
                        </c15:formulaRef>
                      </c:ext>
                    </c:extLst>
                    <c:strCache>
                      <c:ptCount val="5"/>
                      <c:pt idx="0">
                        <c:v>냉장고</c:v>
                      </c:pt>
                      <c:pt idx="1">
                        <c:v>드럼세탁기</c:v>
                      </c:pt>
                      <c:pt idx="2">
                        <c:v>TV</c:v>
                      </c:pt>
                      <c:pt idx="3">
                        <c:v>공기청정기</c:v>
                      </c:pt>
                      <c:pt idx="4">
                        <c:v>무선청소기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차트작업!$D$4:$D$8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5"/>
                      <c:pt idx="0">
                        <c:v>1190000</c:v>
                      </c:pt>
                      <c:pt idx="1">
                        <c:v>1050000</c:v>
                      </c:pt>
                      <c:pt idx="2">
                        <c:v>1250000</c:v>
                      </c:pt>
                      <c:pt idx="3">
                        <c:v>880000</c:v>
                      </c:pt>
                      <c:pt idx="4">
                        <c:v>950000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35E-47D8-802E-5540312BAC73}"/>
                  </c:ext>
                </c:extLst>
              </c15:ser>
            </c15:filteredBarSeries>
          </c:ext>
        </c:extLst>
      </c:barChart>
      <c:catAx>
        <c:axId val="5807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1332896"/>
        <c:crosses val="autoZero"/>
        <c:auto val="1"/>
        <c:lblAlgn val="ctr"/>
        <c:lblOffset val="100"/>
        <c:noMultiLvlLbl val="0"/>
      </c:catAx>
      <c:valAx>
        <c:axId val="791332896"/>
        <c:scaling>
          <c:orientation val="minMax"/>
          <c:max val="15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0731024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9525</xdr:rowOff>
        </xdr:from>
        <xdr:to>
          <xdr:col>2</xdr:col>
          <xdr:colOff>676275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11</xdr:row>
      <xdr:rowOff>0</xdr:rowOff>
    </xdr:from>
    <xdr:to>
      <xdr:col>6</xdr:col>
      <xdr:colOff>0</xdr:colOff>
      <xdr:row>13</xdr:row>
      <xdr:rowOff>9525</xdr:rowOff>
    </xdr:to>
    <xdr:sp macro="[0]!서식" textlink="">
      <xdr:nvSpPr>
        <xdr:cNvPr id="2" name="오각형 1"/>
        <xdr:cNvSpPr/>
      </xdr:nvSpPr>
      <xdr:spPr>
        <a:xfrm>
          <a:off x="3009900" y="2352675"/>
          <a:ext cx="1362075" cy="4286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223156</xdr:rowOff>
    </xdr:from>
    <xdr:to>
      <xdr:col>6</xdr:col>
      <xdr:colOff>696685</xdr:colOff>
      <xdr:row>25</xdr:row>
      <xdr:rowOff>223156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29.34618912037" createdVersion="6" refreshedVersion="6" minRefreshableVersion="3" recordCount="12">
  <cacheSource type="worksheet">
    <worksheetSource ref="A3:H15" sheet="분석작업-1"/>
  </cacheSource>
  <cacheFields count="8">
    <cacheField name="사원명" numFmtId="0">
      <sharedItems/>
    </cacheField>
    <cacheField name="팀명" numFmtId="0">
      <sharedItems count="3">
        <s v="인사팀"/>
        <s v="재무팀"/>
        <s v="홍보팀"/>
      </sharedItems>
    </cacheField>
    <cacheField name="직책" numFmtId="0">
      <sharedItems count="4">
        <s v="팀장"/>
        <s v="책임"/>
        <s v="선임"/>
        <s v="주임"/>
      </sharedItems>
    </cacheField>
    <cacheField name="년차" numFmtId="0">
      <sharedItems containsSemiMixedTypes="0" containsString="0" containsNumber="1" containsInteger="1" minValue="1" maxValue="15"/>
    </cacheField>
    <cacheField name="기본급" numFmtId="41">
      <sharedItems containsSemiMixedTypes="0" containsString="0" containsNumber="1" containsInteger="1" minValue="2400000" maxValue="4500000"/>
    </cacheField>
    <cacheField name="수당" numFmtId="41">
      <sharedItems containsSemiMixedTypes="0" containsString="0" containsNumber="1" containsInteger="1" minValue="810000" maxValue="1700000"/>
    </cacheField>
    <cacheField name="세금" numFmtId="41">
      <sharedItems containsSemiMixedTypes="0" containsString="0" containsNumber="1" containsInteger="1" minValue="550000" maxValue="1300000"/>
    </cacheField>
    <cacheField name="실수령액" numFmtId="41">
      <sharedItems containsSemiMixedTypes="0" containsString="0" containsNumber="1" containsInteger="1" minValue="2670000" maxValue="49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s v="김대희"/>
    <x v="0"/>
    <x v="0"/>
    <n v="15"/>
    <n v="4500000"/>
    <n v="1700000"/>
    <n v="1300000"/>
    <n v="4900000"/>
  </r>
  <r>
    <s v="서여진"/>
    <x v="0"/>
    <x v="1"/>
    <n v="9"/>
    <n v="3900000"/>
    <n v="1500000"/>
    <n v="1100000"/>
    <n v="4300000"/>
  </r>
  <r>
    <s v="최진호"/>
    <x v="0"/>
    <x v="2"/>
    <n v="5"/>
    <n v="3300000"/>
    <n v="950000"/>
    <n v="950000"/>
    <n v="3300000"/>
  </r>
  <r>
    <s v="이주연"/>
    <x v="0"/>
    <x v="3"/>
    <n v="2"/>
    <n v="2600000"/>
    <n v="850000"/>
    <n v="650000"/>
    <n v="2800000"/>
  </r>
  <r>
    <s v="마인석"/>
    <x v="1"/>
    <x v="0"/>
    <n v="12"/>
    <n v="4200000"/>
    <n v="1300000"/>
    <n v="1100000"/>
    <n v="4400000"/>
  </r>
  <r>
    <s v="안나은"/>
    <x v="1"/>
    <x v="1"/>
    <n v="8"/>
    <n v="3600000"/>
    <n v="1400000"/>
    <n v="1000000"/>
    <n v="4000000"/>
  </r>
  <r>
    <s v="민준희"/>
    <x v="1"/>
    <x v="2"/>
    <n v="3"/>
    <n v="3100000"/>
    <n v="850000"/>
    <n v="850000"/>
    <n v="3100000"/>
  </r>
  <r>
    <s v="한수나"/>
    <x v="1"/>
    <x v="3"/>
    <n v="1"/>
    <n v="2400000"/>
    <n v="820000"/>
    <n v="550000"/>
    <n v="2670000"/>
  </r>
  <r>
    <s v="최미진"/>
    <x v="2"/>
    <x v="0"/>
    <n v="10"/>
    <n v="4000000"/>
    <n v="1500000"/>
    <n v="1100000"/>
    <n v="4400000"/>
  </r>
  <r>
    <s v="김서연"/>
    <x v="2"/>
    <x v="1"/>
    <n v="7"/>
    <n v="3500000"/>
    <n v="1350000"/>
    <n v="1020000"/>
    <n v="3830000"/>
  </r>
  <r>
    <s v="정유리"/>
    <x v="2"/>
    <x v="2"/>
    <n v="4"/>
    <n v="3200000"/>
    <n v="900000"/>
    <n v="930000"/>
    <n v="3170000"/>
  </r>
  <r>
    <s v="유이지"/>
    <x v="2"/>
    <x v="3"/>
    <n v="2"/>
    <n v="2600000"/>
    <n v="810000"/>
    <n v="600000"/>
    <n v="281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0:D26" firstHeaderRow="1" firstDataRow="2" firstDataCol="1"/>
  <pivotFields count="8">
    <pivotField showAll="0"/>
    <pivotField axis="axisCol" showAll="0">
      <items count="4">
        <item x="0"/>
        <item x="1"/>
        <item h="1" x="2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numFmtId="41" showAll="0"/>
    <pivotField numFmtId="41" showAll="0"/>
    <pivotField numFmtId="41" showAll="0"/>
    <pivotField dataField="1" numFmtId="4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평균 : 실수령액" fld="7" subtotal="average" baseField="2" baseItem="0" numFmtId="180"/>
  </dataFields>
  <formats count="3">
    <format dxfId="3">
      <pivotArea outline="0" collapsedLevelsAreSubtotals="1" fieldPosition="0"/>
    </format>
    <format dxfId="4">
      <pivotArea dataOnly="0" labelOnly="1" fieldPosition="0">
        <references count="1">
          <reference field="1" count="0"/>
        </references>
      </pivotArea>
    </format>
    <format dxfId="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activeCell="E20" sqref="E20"/>
    </sheetView>
  </sheetViews>
  <sheetFormatPr defaultRowHeight="16.5" x14ac:dyDescent="0.3"/>
  <cols>
    <col min="3" max="3" width="10.5" bestFit="1" customWidth="1"/>
  </cols>
  <sheetData>
    <row r="1" spans="1:6" x14ac:dyDescent="0.3">
      <c r="A1" t="s">
        <v>0</v>
      </c>
    </row>
    <row r="3" spans="1:6" x14ac:dyDescent="0.3">
      <c r="A3" t="s">
        <v>251</v>
      </c>
      <c r="B3" t="s">
        <v>252</v>
      </c>
      <c r="C3" t="s">
        <v>253</v>
      </c>
      <c r="D3" t="s">
        <v>254</v>
      </c>
      <c r="E3" t="s">
        <v>255</v>
      </c>
      <c r="F3" t="s">
        <v>256</v>
      </c>
    </row>
    <row r="4" spans="1:6" x14ac:dyDescent="0.3">
      <c r="A4" t="s">
        <v>257</v>
      </c>
      <c r="B4" t="s">
        <v>258</v>
      </c>
      <c r="C4" t="s">
        <v>259</v>
      </c>
      <c r="D4">
        <v>28000</v>
      </c>
      <c r="E4">
        <v>3500</v>
      </c>
      <c r="F4" t="s">
        <v>260</v>
      </c>
    </row>
    <row r="5" spans="1:6" x14ac:dyDescent="0.3">
      <c r="A5" t="s">
        <v>257</v>
      </c>
      <c r="B5" t="s">
        <v>261</v>
      </c>
      <c r="C5" t="s">
        <v>262</v>
      </c>
      <c r="D5">
        <v>33000</v>
      </c>
      <c r="E5">
        <v>2700</v>
      </c>
      <c r="F5" t="s">
        <v>263</v>
      </c>
    </row>
    <row r="6" spans="1:6" x14ac:dyDescent="0.3">
      <c r="A6" t="s">
        <v>264</v>
      </c>
      <c r="B6" t="s">
        <v>265</v>
      </c>
      <c r="C6" t="s">
        <v>266</v>
      </c>
      <c r="D6">
        <v>45000</v>
      </c>
      <c r="E6">
        <v>1500</v>
      </c>
      <c r="F6" t="s">
        <v>260</v>
      </c>
    </row>
    <row r="7" spans="1:6" x14ac:dyDescent="0.3">
      <c r="A7" t="s">
        <v>264</v>
      </c>
      <c r="B7" t="s">
        <v>267</v>
      </c>
      <c r="C7" t="s">
        <v>268</v>
      </c>
      <c r="D7">
        <v>50000</v>
      </c>
      <c r="E7">
        <v>1000</v>
      </c>
      <c r="F7" t="s">
        <v>269</v>
      </c>
    </row>
    <row r="8" spans="1:6" x14ac:dyDescent="0.3">
      <c r="A8" t="s">
        <v>270</v>
      </c>
      <c r="B8" t="s">
        <v>271</v>
      </c>
      <c r="C8" t="s">
        <v>272</v>
      </c>
      <c r="D8">
        <v>65000</v>
      </c>
      <c r="E8">
        <v>1100</v>
      </c>
      <c r="F8" t="s">
        <v>273</v>
      </c>
    </row>
    <row r="9" spans="1:6" x14ac:dyDescent="0.3">
      <c r="A9" t="s">
        <v>270</v>
      </c>
      <c r="B9" t="s">
        <v>274</v>
      </c>
      <c r="C9" t="s">
        <v>275</v>
      </c>
      <c r="D9">
        <v>55000</v>
      </c>
      <c r="E9">
        <v>1250</v>
      </c>
      <c r="F9" t="s">
        <v>276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E35" sqref="E35"/>
    </sheetView>
  </sheetViews>
  <sheetFormatPr defaultRowHeight="16.5" x14ac:dyDescent="0.3"/>
  <cols>
    <col min="8" max="8" width="11.25" bestFit="1" customWidth="1"/>
  </cols>
  <sheetData>
    <row r="1" spans="1:8" ht="22.5" x14ac:dyDescent="0.3">
      <c r="A1" s="18" t="s">
        <v>239</v>
      </c>
      <c r="B1" s="18"/>
      <c r="C1" s="18"/>
      <c r="D1" s="18"/>
      <c r="E1" s="18"/>
      <c r="F1" s="18"/>
      <c r="G1" s="18"/>
      <c r="H1" s="18"/>
    </row>
    <row r="2" spans="1:8" ht="17.25" thickBot="1" x14ac:dyDescent="0.35"/>
    <row r="3" spans="1:8" x14ac:dyDescent="0.3">
      <c r="A3" s="21" t="s">
        <v>56</v>
      </c>
      <c r="B3" s="22" t="s">
        <v>57</v>
      </c>
      <c r="C3" s="22" t="s">
        <v>58</v>
      </c>
      <c r="D3" s="22"/>
      <c r="E3" s="22"/>
      <c r="F3" s="22"/>
      <c r="G3" s="22" t="s">
        <v>59</v>
      </c>
      <c r="H3" s="23" t="s">
        <v>60</v>
      </c>
    </row>
    <row r="4" spans="1:8" x14ac:dyDescent="0.3">
      <c r="A4" s="24"/>
      <c r="B4" s="19"/>
      <c r="C4" s="20" t="s">
        <v>61</v>
      </c>
      <c r="D4" s="20" t="s">
        <v>1</v>
      </c>
      <c r="E4" s="20" t="s">
        <v>2</v>
      </c>
      <c r="F4" s="20" t="s">
        <v>3</v>
      </c>
      <c r="G4" s="19"/>
      <c r="H4" s="25"/>
    </row>
    <row r="5" spans="1:8" x14ac:dyDescent="0.3">
      <c r="A5" s="26" t="s">
        <v>62</v>
      </c>
      <c r="B5" s="2" t="s">
        <v>63</v>
      </c>
      <c r="C5" s="9">
        <v>216</v>
      </c>
      <c r="D5" s="9">
        <v>177</v>
      </c>
      <c r="E5" s="9">
        <v>292</v>
      </c>
      <c r="F5" s="9">
        <v>250</v>
      </c>
      <c r="G5" s="9">
        <v>935</v>
      </c>
      <c r="H5" s="27">
        <v>3833500</v>
      </c>
    </row>
    <row r="6" spans="1:8" x14ac:dyDescent="0.3">
      <c r="A6" s="26" t="s">
        <v>64</v>
      </c>
      <c r="B6" s="2" t="s">
        <v>65</v>
      </c>
      <c r="C6" s="9">
        <v>166</v>
      </c>
      <c r="D6" s="9">
        <v>214</v>
      </c>
      <c r="E6" s="9">
        <v>228</v>
      </c>
      <c r="F6" s="9">
        <v>224</v>
      </c>
      <c r="G6" s="9">
        <v>832</v>
      </c>
      <c r="H6" s="27">
        <v>3411200</v>
      </c>
    </row>
    <row r="7" spans="1:8" x14ac:dyDescent="0.3">
      <c r="A7" s="26" t="s">
        <v>66</v>
      </c>
      <c r="B7" s="2" t="s">
        <v>65</v>
      </c>
      <c r="C7" s="9">
        <v>254</v>
      </c>
      <c r="D7" s="9">
        <v>300</v>
      </c>
      <c r="E7" s="9">
        <v>227</v>
      </c>
      <c r="F7" s="9">
        <v>272</v>
      </c>
      <c r="G7" s="9">
        <v>1053</v>
      </c>
      <c r="H7" s="27">
        <v>4317300</v>
      </c>
    </row>
    <row r="8" spans="1:8" x14ac:dyDescent="0.3">
      <c r="A8" s="26" t="s">
        <v>67</v>
      </c>
      <c r="B8" s="2" t="s">
        <v>68</v>
      </c>
      <c r="C8" s="9">
        <v>221</v>
      </c>
      <c r="D8" s="9">
        <v>241</v>
      </c>
      <c r="E8" s="9">
        <v>214</v>
      </c>
      <c r="F8" s="9">
        <v>174</v>
      </c>
      <c r="G8" s="9">
        <v>850</v>
      </c>
      <c r="H8" s="27">
        <v>3485000</v>
      </c>
    </row>
    <row r="9" spans="1:8" x14ac:dyDescent="0.3">
      <c r="A9" s="26" t="s">
        <v>69</v>
      </c>
      <c r="B9" s="2" t="s">
        <v>68</v>
      </c>
      <c r="C9" s="9">
        <v>204</v>
      </c>
      <c r="D9" s="9">
        <v>210</v>
      </c>
      <c r="E9" s="9">
        <v>234</v>
      </c>
      <c r="F9" s="9">
        <v>230</v>
      </c>
      <c r="G9" s="9">
        <v>878</v>
      </c>
      <c r="H9" s="27">
        <v>3599800</v>
      </c>
    </row>
    <row r="10" spans="1:8" x14ac:dyDescent="0.3">
      <c r="A10" s="26" t="s">
        <v>70</v>
      </c>
      <c r="B10" s="2" t="s">
        <v>71</v>
      </c>
      <c r="C10" s="9">
        <v>159</v>
      </c>
      <c r="D10" s="9">
        <v>141</v>
      </c>
      <c r="E10" s="9">
        <v>168</v>
      </c>
      <c r="F10" s="9">
        <v>138</v>
      </c>
      <c r="G10" s="9">
        <v>606</v>
      </c>
      <c r="H10" s="27">
        <v>2484600</v>
      </c>
    </row>
    <row r="11" spans="1:8" x14ac:dyDescent="0.3">
      <c r="A11" s="26" t="s">
        <v>72</v>
      </c>
      <c r="B11" s="2" t="s">
        <v>71</v>
      </c>
      <c r="C11" s="9">
        <v>260</v>
      </c>
      <c r="D11" s="9">
        <v>280</v>
      </c>
      <c r="E11" s="9">
        <v>288</v>
      </c>
      <c r="F11" s="9">
        <v>237</v>
      </c>
      <c r="G11" s="9">
        <v>1065</v>
      </c>
      <c r="H11" s="27">
        <v>4366500</v>
      </c>
    </row>
    <row r="12" spans="1:8" x14ac:dyDescent="0.3">
      <c r="A12" s="26" t="s">
        <v>73</v>
      </c>
      <c r="B12" s="2" t="s">
        <v>4</v>
      </c>
      <c r="C12" s="9">
        <v>168</v>
      </c>
      <c r="D12" s="9">
        <v>187</v>
      </c>
      <c r="E12" s="9">
        <v>195</v>
      </c>
      <c r="F12" s="9">
        <v>212</v>
      </c>
      <c r="G12" s="9">
        <v>762</v>
      </c>
      <c r="H12" s="27">
        <v>3124200</v>
      </c>
    </row>
    <row r="13" spans="1:8" x14ac:dyDescent="0.3">
      <c r="A13" s="26" t="s">
        <v>74</v>
      </c>
      <c r="B13" s="2" t="s">
        <v>4</v>
      </c>
      <c r="C13" s="9">
        <v>217</v>
      </c>
      <c r="D13" s="9">
        <v>214</v>
      </c>
      <c r="E13" s="9">
        <v>238</v>
      </c>
      <c r="F13" s="9">
        <v>212</v>
      </c>
      <c r="G13" s="9">
        <v>881</v>
      </c>
      <c r="H13" s="27">
        <v>3612100</v>
      </c>
    </row>
    <row r="14" spans="1:8" ht="17.25" thickBot="1" x14ac:dyDescent="0.35">
      <c r="A14" s="28" t="s">
        <v>75</v>
      </c>
      <c r="B14" s="29" t="s">
        <v>4</v>
      </c>
      <c r="C14" s="30">
        <v>141</v>
      </c>
      <c r="D14" s="30">
        <v>159</v>
      </c>
      <c r="E14" s="30">
        <v>148</v>
      </c>
      <c r="F14" s="30">
        <v>154</v>
      </c>
      <c r="G14" s="30">
        <v>602</v>
      </c>
      <c r="H14" s="31">
        <v>2468200</v>
      </c>
    </row>
  </sheetData>
  <mergeCells count="6">
    <mergeCell ref="A1:H1"/>
    <mergeCell ref="H3:H4"/>
    <mergeCell ref="G3:G4"/>
    <mergeCell ref="C3:F3"/>
    <mergeCell ref="B3:B4"/>
    <mergeCell ref="A3:A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topLeftCell="A7" workbookViewId="0">
      <selection activeCell="A3" sqref="A3:H17"/>
    </sheetView>
  </sheetViews>
  <sheetFormatPr defaultRowHeight="16.5" x14ac:dyDescent="0.3"/>
  <cols>
    <col min="4" max="4" width="10.625" bestFit="1" customWidth="1"/>
    <col min="5" max="5" width="12.125" bestFit="1" customWidth="1"/>
    <col min="6" max="8" width="10.625" bestFit="1" customWidth="1"/>
  </cols>
  <sheetData>
    <row r="1" spans="1:8" ht="20.25" x14ac:dyDescent="0.3">
      <c r="A1" s="16" t="s">
        <v>237</v>
      </c>
      <c r="B1" s="16"/>
      <c r="C1" s="16"/>
      <c r="D1" s="16"/>
      <c r="E1" s="16"/>
      <c r="F1" s="16"/>
      <c r="G1" s="16"/>
      <c r="H1" s="16"/>
    </row>
    <row r="3" spans="1:8" x14ac:dyDescent="0.3">
      <c r="A3" s="2" t="s">
        <v>76</v>
      </c>
      <c r="B3" s="2" t="s">
        <v>77</v>
      </c>
      <c r="C3" s="2" t="s">
        <v>78</v>
      </c>
      <c r="D3" s="2" t="s">
        <v>79</v>
      </c>
      <c r="E3" s="2" t="s">
        <v>80</v>
      </c>
      <c r="F3" s="2" t="s">
        <v>81</v>
      </c>
      <c r="G3" s="2" t="s">
        <v>82</v>
      </c>
      <c r="H3" s="2" t="s">
        <v>83</v>
      </c>
    </row>
    <row r="4" spans="1:8" x14ac:dyDescent="0.3">
      <c r="A4" s="2" t="s">
        <v>84</v>
      </c>
      <c r="B4" s="2" t="s">
        <v>85</v>
      </c>
      <c r="C4" s="2" t="s">
        <v>68</v>
      </c>
      <c r="D4" s="3">
        <v>3500000</v>
      </c>
      <c r="E4" s="3">
        <v>500000</v>
      </c>
      <c r="F4" s="3">
        <v>880000</v>
      </c>
      <c r="G4" s="3">
        <v>586000</v>
      </c>
      <c r="H4" s="3">
        <v>4294000</v>
      </c>
    </row>
    <row r="5" spans="1:8" x14ac:dyDescent="0.3">
      <c r="A5" s="2" t="s">
        <v>86</v>
      </c>
      <c r="B5" s="2" t="s">
        <v>87</v>
      </c>
      <c r="C5" s="2" t="s">
        <v>88</v>
      </c>
      <c r="D5" s="3">
        <v>2150000</v>
      </c>
      <c r="E5" s="3">
        <v>500000</v>
      </c>
      <c r="F5" s="3">
        <v>540000</v>
      </c>
      <c r="G5" s="3">
        <v>383000</v>
      </c>
      <c r="H5" s="3">
        <v>2807000</v>
      </c>
    </row>
    <row r="6" spans="1:8" x14ac:dyDescent="0.3">
      <c r="A6" s="2" t="s">
        <v>89</v>
      </c>
      <c r="B6" s="2" t="s">
        <v>90</v>
      </c>
      <c r="C6" s="2" t="s">
        <v>88</v>
      </c>
      <c r="D6" s="3">
        <v>2200000</v>
      </c>
      <c r="E6" s="3">
        <v>500000</v>
      </c>
      <c r="F6" s="3">
        <v>550000</v>
      </c>
      <c r="G6" s="3">
        <v>390000</v>
      </c>
      <c r="H6" s="3">
        <v>2860000</v>
      </c>
    </row>
    <row r="7" spans="1:8" x14ac:dyDescent="0.3">
      <c r="A7" s="2" t="s">
        <v>91</v>
      </c>
      <c r="B7" s="2" t="s">
        <v>87</v>
      </c>
      <c r="C7" s="2" t="s">
        <v>92</v>
      </c>
      <c r="D7" s="3">
        <v>2700000</v>
      </c>
      <c r="E7" s="3">
        <v>500000</v>
      </c>
      <c r="F7" s="3">
        <v>680000</v>
      </c>
      <c r="G7" s="3">
        <v>466000</v>
      </c>
      <c r="H7" s="3">
        <v>3414000</v>
      </c>
    </row>
    <row r="8" spans="1:8" x14ac:dyDescent="0.3">
      <c r="A8" s="2" t="s">
        <v>93</v>
      </c>
      <c r="B8" s="2" t="s">
        <v>94</v>
      </c>
      <c r="C8" s="2" t="s">
        <v>71</v>
      </c>
      <c r="D8" s="3">
        <v>2750000</v>
      </c>
      <c r="E8" s="3">
        <v>500000</v>
      </c>
      <c r="F8" s="3">
        <v>690000</v>
      </c>
      <c r="G8" s="3">
        <v>473000</v>
      </c>
      <c r="H8" s="3">
        <v>3467000</v>
      </c>
    </row>
    <row r="9" spans="1:8" x14ac:dyDescent="0.3">
      <c r="A9" s="2" t="s">
        <v>95</v>
      </c>
      <c r="B9" s="2" t="s">
        <v>96</v>
      </c>
      <c r="C9" s="2" t="s">
        <v>97</v>
      </c>
      <c r="D9" s="3">
        <v>2100000</v>
      </c>
      <c r="E9" s="3">
        <v>500000</v>
      </c>
      <c r="F9" s="3">
        <v>530000</v>
      </c>
      <c r="G9" s="3">
        <v>376000</v>
      </c>
      <c r="H9" s="3">
        <v>2754000</v>
      </c>
    </row>
    <row r="10" spans="1:8" x14ac:dyDescent="0.3">
      <c r="A10" s="2" t="s">
        <v>98</v>
      </c>
      <c r="B10" s="2" t="s">
        <v>99</v>
      </c>
      <c r="C10" s="2" t="s">
        <v>100</v>
      </c>
      <c r="D10" s="3">
        <v>3250000</v>
      </c>
      <c r="E10" s="3">
        <v>500000</v>
      </c>
      <c r="F10" s="3">
        <v>810000</v>
      </c>
      <c r="G10" s="3">
        <v>547000</v>
      </c>
      <c r="H10" s="3">
        <v>4013000</v>
      </c>
    </row>
    <row r="11" spans="1:8" x14ac:dyDescent="0.3">
      <c r="A11" s="2" t="s">
        <v>101</v>
      </c>
      <c r="B11" s="2" t="s">
        <v>87</v>
      </c>
      <c r="C11" s="2" t="s">
        <v>102</v>
      </c>
      <c r="D11" s="3">
        <v>3900000</v>
      </c>
      <c r="E11" s="3">
        <v>500000</v>
      </c>
      <c r="F11" s="3">
        <v>980000</v>
      </c>
      <c r="G11" s="3">
        <v>646000</v>
      </c>
      <c r="H11" s="3">
        <v>4734000</v>
      </c>
    </row>
    <row r="12" spans="1:8" x14ac:dyDescent="0.3">
      <c r="A12" s="2" t="s">
        <v>103</v>
      </c>
      <c r="B12" s="2" t="s">
        <v>104</v>
      </c>
      <c r="C12" s="2" t="s">
        <v>100</v>
      </c>
      <c r="D12" s="3">
        <v>3300000</v>
      </c>
      <c r="E12" s="3">
        <v>500000</v>
      </c>
      <c r="F12" s="3">
        <v>830000</v>
      </c>
      <c r="G12" s="3">
        <v>556000</v>
      </c>
      <c r="H12" s="3">
        <v>4074000</v>
      </c>
    </row>
    <row r="13" spans="1:8" x14ac:dyDescent="0.3">
      <c r="A13" s="2" t="s">
        <v>105</v>
      </c>
      <c r="B13" s="2" t="s">
        <v>85</v>
      </c>
      <c r="C13" s="2" t="s">
        <v>106</v>
      </c>
      <c r="D13" s="3">
        <v>2150000</v>
      </c>
      <c r="E13" s="3">
        <v>500000</v>
      </c>
      <c r="F13" s="3">
        <v>540000</v>
      </c>
      <c r="G13" s="3">
        <v>383000</v>
      </c>
      <c r="H13" s="3">
        <v>2807000</v>
      </c>
    </row>
    <row r="14" spans="1:8" x14ac:dyDescent="0.3">
      <c r="A14" s="2" t="s">
        <v>107</v>
      </c>
      <c r="B14" s="2" t="s">
        <v>90</v>
      </c>
      <c r="C14" s="2" t="s">
        <v>92</v>
      </c>
      <c r="D14" s="3">
        <v>2800000</v>
      </c>
      <c r="E14" s="3">
        <v>500000</v>
      </c>
      <c r="F14" s="3">
        <v>700000</v>
      </c>
      <c r="G14" s="3">
        <v>480000</v>
      </c>
      <c r="H14" s="3">
        <v>3520000</v>
      </c>
    </row>
    <row r="15" spans="1:8" x14ac:dyDescent="0.3">
      <c r="A15" s="2" t="s">
        <v>108</v>
      </c>
      <c r="B15" s="2" t="s">
        <v>94</v>
      </c>
      <c r="C15" s="2" t="s">
        <v>97</v>
      </c>
      <c r="D15" s="3">
        <v>2000000</v>
      </c>
      <c r="E15" s="3">
        <v>500000</v>
      </c>
      <c r="F15" s="3">
        <v>500000</v>
      </c>
      <c r="G15" s="3">
        <v>360000</v>
      </c>
      <c r="H15" s="3">
        <v>2640000</v>
      </c>
    </row>
    <row r="16" spans="1:8" x14ac:dyDescent="0.3">
      <c r="A16" s="2" t="s">
        <v>109</v>
      </c>
      <c r="B16" s="2" t="s">
        <v>85</v>
      </c>
      <c r="C16" s="2" t="s">
        <v>110</v>
      </c>
      <c r="D16" s="3">
        <v>2600000</v>
      </c>
      <c r="E16" s="3">
        <v>500000</v>
      </c>
      <c r="F16" s="3">
        <v>650000</v>
      </c>
      <c r="G16" s="3">
        <v>450000</v>
      </c>
      <c r="H16" s="3">
        <v>3300000</v>
      </c>
    </row>
    <row r="17" spans="1:8" x14ac:dyDescent="0.3">
      <c r="A17" s="2" t="s">
        <v>111</v>
      </c>
      <c r="B17" s="2" t="s">
        <v>94</v>
      </c>
      <c r="C17" s="2" t="s">
        <v>102</v>
      </c>
      <c r="D17" s="3">
        <v>4000000</v>
      </c>
      <c r="E17" s="3">
        <v>500000</v>
      </c>
      <c r="F17" s="3">
        <v>1000000</v>
      </c>
      <c r="G17" s="3">
        <v>660000</v>
      </c>
      <c r="H17" s="3">
        <v>4840000</v>
      </c>
    </row>
    <row r="18" spans="1:8" x14ac:dyDescent="0.3">
      <c r="A18" s="2" t="s">
        <v>112</v>
      </c>
      <c r="B18" s="2" t="s">
        <v>113</v>
      </c>
      <c r="C18" s="2" t="s">
        <v>63</v>
      </c>
      <c r="D18" s="3">
        <v>3650000</v>
      </c>
      <c r="E18" s="3">
        <v>500000</v>
      </c>
      <c r="F18" s="3">
        <v>910000</v>
      </c>
      <c r="G18" s="3">
        <v>607000</v>
      </c>
      <c r="H18" s="3">
        <v>4453000</v>
      </c>
    </row>
    <row r="20" spans="1:8" x14ac:dyDescent="0.3">
      <c r="A20" s="2" t="s">
        <v>78</v>
      </c>
      <c r="B20" s="2" t="s">
        <v>83</v>
      </c>
    </row>
    <row r="21" spans="1:8" x14ac:dyDescent="0.3">
      <c r="A21" s="2" t="s">
        <v>68</v>
      </c>
    </row>
    <row r="22" spans="1:8" x14ac:dyDescent="0.3">
      <c r="B22" s="8" t="s">
        <v>240</v>
      </c>
    </row>
    <row r="25" spans="1:8" x14ac:dyDescent="0.3">
      <c r="A25" s="2" t="s">
        <v>76</v>
      </c>
      <c r="B25" s="2" t="s">
        <v>77</v>
      </c>
      <c r="C25" s="2" t="s">
        <v>78</v>
      </c>
      <c r="D25" s="2" t="s">
        <v>79</v>
      </c>
      <c r="E25" s="2" t="s">
        <v>80</v>
      </c>
      <c r="F25" s="2" t="s">
        <v>81</v>
      </c>
      <c r="G25" s="2" t="s">
        <v>82</v>
      </c>
      <c r="H25" s="2" t="s">
        <v>83</v>
      </c>
    </row>
    <row r="26" spans="1:8" x14ac:dyDescent="0.3">
      <c r="A26" s="2" t="s">
        <v>84</v>
      </c>
      <c r="B26" s="2" t="s">
        <v>85</v>
      </c>
      <c r="C26" s="2" t="s">
        <v>68</v>
      </c>
      <c r="D26" s="3">
        <v>3500000</v>
      </c>
      <c r="E26" s="3">
        <v>500000</v>
      </c>
      <c r="F26" s="3">
        <v>880000</v>
      </c>
      <c r="G26" s="3">
        <v>586000</v>
      </c>
      <c r="H26" s="3">
        <v>4294000</v>
      </c>
    </row>
    <row r="27" spans="1:8" x14ac:dyDescent="0.3">
      <c r="A27" s="2" t="s">
        <v>86</v>
      </c>
      <c r="B27" s="2" t="s">
        <v>87</v>
      </c>
      <c r="C27" s="2" t="s">
        <v>88</v>
      </c>
      <c r="D27" s="3">
        <v>2150000</v>
      </c>
      <c r="E27" s="3">
        <v>500000</v>
      </c>
      <c r="F27" s="3">
        <v>540000</v>
      </c>
      <c r="G27" s="3">
        <v>383000</v>
      </c>
      <c r="H27" s="3">
        <v>2807000</v>
      </c>
    </row>
    <row r="28" spans="1:8" x14ac:dyDescent="0.3">
      <c r="A28" s="2" t="s">
        <v>89</v>
      </c>
      <c r="B28" s="2" t="s">
        <v>90</v>
      </c>
      <c r="C28" s="2" t="s">
        <v>88</v>
      </c>
      <c r="D28" s="3">
        <v>2200000</v>
      </c>
      <c r="E28" s="3">
        <v>500000</v>
      </c>
      <c r="F28" s="3">
        <v>550000</v>
      </c>
      <c r="G28" s="3">
        <v>390000</v>
      </c>
      <c r="H28" s="3">
        <v>2860000</v>
      </c>
    </row>
    <row r="29" spans="1:8" x14ac:dyDescent="0.3">
      <c r="A29" s="2" t="s">
        <v>91</v>
      </c>
      <c r="B29" s="2" t="s">
        <v>87</v>
      </c>
      <c r="C29" s="2" t="s">
        <v>92</v>
      </c>
      <c r="D29" s="3">
        <v>2700000</v>
      </c>
      <c r="E29" s="3">
        <v>500000</v>
      </c>
      <c r="F29" s="3">
        <v>680000</v>
      </c>
      <c r="G29" s="3">
        <v>466000</v>
      </c>
      <c r="H29" s="3">
        <v>3414000</v>
      </c>
    </row>
    <row r="30" spans="1:8" x14ac:dyDescent="0.3">
      <c r="A30" s="2" t="s">
        <v>93</v>
      </c>
      <c r="B30" s="2" t="s">
        <v>94</v>
      </c>
      <c r="C30" s="2" t="s">
        <v>71</v>
      </c>
      <c r="D30" s="3">
        <v>2750000</v>
      </c>
      <c r="E30" s="3">
        <v>500000</v>
      </c>
      <c r="F30" s="3">
        <v>690000</v>
      </c>
      <c r="G30" s="3">
        <v>473000</v>
      </c>
      <c r="H30" s="3">
        <v>3467000</v>
      </c>
    </row>
    <row r="31" spans="1:8" x14ac:dyDescent="0.3">
      <c r="A31" s="2" t="s">
        <v>95</v>
      </c>
      <c r="B31" s="2" t="s">
        <v>87</v>
      </c>
      <c r="C31" s="2" t="s">
        <v>88</v>
      </c>
      <c r="D31" s="3">
        <v>2100000</v>
      </c>
      <c r="E31" s="3">
        <v>500000</v>
      </c>
      <c r="F31" s="3">
        <v>530000</v>
      </c>
      <c r="G31" s="3">
        <v>376000</v>
      </c>
      <c r="H31" s="3">
        <v>2754000</v>
      </c>
    </row>
    <row r="32" spans="1:8" x14ac:dyDescent="0.3">
      <c r="A32" s="2" t="s">
        <v>98</v>
      </c>
      <c r="B32" s="2" t="s">
        <v>99</v>
      </c>
      <c r="C32" s="2" t="s">
        <v>100</v>
      </c>
      <c r="D32" s="3">
        <v>3250000</v>
      </c>
      <c r="E32" s="3">
        <v>500000</v>
      </c>
      <c r="F32" s="3">
        <v>810000</v>
      </c>
      <c r="G32" s="3">
        <v>547000</v>
      </c>
      <c r="H32" s="3">
        <v>4013000</v>
      </c>
    </row>
    <row r="33" spans="1:8" x14ac:dyDescent="0.3">
      <c r="A33" s="2" t="s">
        <v>103</v>
      </c>
      <c r="B33" s="2" t="s">
        <v>104</v>
      </c>
      <c r="C33" s="2" t="s">
        <v>100</v>
      </c>
      <c r="D33" s="3">
        <v>3300000</v>
      </c>
      <c r="E33" s="3">
        <v>500000</v>
      </c>
      <c r="F33" s="3">
        <v>830000</v>
      </c>
      <c r="G33" s="3">
        <v>556000</v>
      </c>
      <c r="H33" s="3">
        <v>4074000</v>
      </c>
    </row>
    <row r="34" spans="1:8" x14ac:dyDescent="0.3">
      <c r="A34" s="2" t="s">
        <v>105</v>
      </c>
      <c r="B34" s="2" t="s">
        <v>85</v>
      </c>
      <c r="C34" s="2" t="s">
        <v>106</v>
      </c>
      <c r="D34" s="3">
        <v>2150000</v>
      </c>
      <c r="E34" s="3">
        <v>500000</v>
      </c>
      <c r="F34" s="3">
        <v>540000</v>
      </c>
      <c r="G34" s="3">
        <v>383000</v>
      </c>
      <c r="H34" s="3">
        <v>2807000</v>
      </c>
    </row>
    <row r="35" spans="1:8" x14ac:dyDescent="0.3">
      <c r="A35" s="2" t="s">
        <v>108</v>
      </c>
      <c r="B35" s="2" t="s">
        <v>94</v>
      </c>
      <c r="C35" s="2" t="s">
        <v>88</v>
      </c>
      <c r="D35" s="3">
        <v>2000000</v>
      </c>
      <c r="E35" s="3">
        <v>500000</v>
      </c>
      <c r="F35" s="3">
        <v>500000</v>
      </c>
      <c r="G35" s="3">
        <v>360000</v>
      </c>
      <c r="H35" s="3">
        <v>2640000</v>
      </c>
    </row>
    <row r="36" spans="1:8" x14ac:dyDescent="0.3">
      <c r="A36" s="2" t="s">
        <v>109</v>
      </c>
      <c r="B36" s="2" t="s">
        <v>85</v>
      </c>
      <c r="C36" s="2" t="s">
        <v>110</v>
      </c>
      <c r="D36" s="3">
        <v>2600000</v>
      </c>
      <c r="E36" s="3">
        <v>500000</v>
      </c>
      <c r="F36" s="3">
        <v>650000</v>
      </c>
      <c r="G36" s="3">
        <v>450000</v>
      </c>
      <c r="H36" s="3">
        <v>3300000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topLeftCell="A7" workbookViewId="0">
      <selection activeCell="E28" sqref="E28:E35"/>
    </sheetView>
  </sheetViews>
  <sheetFormatPr defaultRowHeight="16.5" x14ac:dyDescent="0.3"/>
  <cols>
    <col min="9" max="9" width="13.875" bestFit="1" customWidth="1"/>
  </cols>
  <sheetData>
    <row r="1" spans="1:10" x14ac:dyDescent="0.3">
      <c r="A1" s="4" t="s">
        <v>9</v>
      </c>
      <c r="B1" s="5" t="s">
        <v>10</v>
      </c>
      <c r="G1" s="4" t="s">
        <v>11</v>
      </c>
      <c r="H1" s="5" t="s">
        <v>114</v>
      </c>
    </row>
    <row r="2" spans="1:10" x14ac:dyDescent="0.3">
      <c r="A2" s="2" t="s">
        <v>12</v>
      </c>
      <c r="B2" s="2" t="s">
        <v>13</v>
      </c>
      <c r="C2" s="2" t="s">
        <v>6</v>
      </c>
      <c r="D2" s="2" t="s">
        <v>115</v>
      </c>
      <c r="E2" s="2" t="s">
        <v>116</v>
      </c>
      <c r="G2" s="2" t="s">
        <v>14</v>
      </c>
      <c r="H2" s="2" t="s">
        <v>15</v>
      </c>
      <c r="I2" s="2" t="s">
        <v>16</v>
      </c>
      <c r="J2" s="6" t="s">
        <v>117</v>
      </c>
    </row>
    <row r="3" spans="1:10" x14ac:dyDescent="0.3">
      <c r="A3" s="2" t="s">
        <v>17</v>
      </c>
      <c r="B3" s="2" t="s">
        <v>118</v>
      </c>
      <c r="C3" s="2" t="s">
        <v>7</v>
      </c>
      <c r="D3" s="2">
        <v>86</v>
      </c>
      <c r="E3" s="2">
        <v>70</v>
      </c>
      <c r="G3" s="2" t="s">
        <v>119</v>
      </c>
      <c r="H3" s="2" t="s">
        <v>18</v>
      </c>
      <c r="I3" s="2" t="s">
        <v>120</v>
      </c>
      <c r="J3" s="2" t="str">
        <f>IF(MOD(MID(I3,8,1),2)=0,"여자","남자")</f>
        <v>여자</v>
      </c>
    </row>
    <row r="4" spans="1:10" x14ac:dyDescent="0.3">
      <c r="A4" s="2" t="s">
        <v>19</v>
      </c>
      <c r="B4" s="2" t="s">
        <v>121</v>
      </c>
      <c r="C4" s="2" t="s">
        <v>8</v>
      </c>
      <c r="D4" s="2">
        <v>94</v>
      </c>
      <c r="E4" s="2">
        <v>78</v>
      </c>
      <c r="G4" s="2" t="s">
        <v>122</v>
      </c>
      <c r="H4" s="2" t="s">
        <v>20</v>
      </c>
      <c r="I4" s="2" t="s">
        <v>123</v>
      </c>
      <c r="J4" s="2" t="str">
        <f t="shared" ref="J4:J12" si="0">IF(MOD(MID(I4,8,1),2)=0,"여자","남자")</f>
        <v>남자</v>
      </c>
    </row>
    <row r="5" spans="1:10" x14ac:dyDescent="0.3">
      <c r="A5" s="2" t="s">
        <v>21</v>
      </c>
      <c r="B5" s="2" t="s">
        <v>124</v>
      </c>
      <c r="C5" s="2" t="s">
        <v>7</v>
      </c>
      <c r="D5" s="2">
        <v>91</v>
      </c>
      <c r="E5" s="2">
        <v>86</v>
      </c>
      <c r="G5" s="2" t="s">
        <v>125</v>
      </c>
      <c r="H5" s="2" t="s">
        <v>22</v>
      </c>
      <c r="I5" s="2" t="s">
        <v>126</v>
      </c>
      <c r="J5" s="2" t="str">
        <f t="shared" si="0"/>
        <v>여자</v>
      </c>
    </row>
    <row r="6" spans="1:10" x14ac:dyDescent="0.3">
      <c r="A6" s="2" t="s">
        <v>23</v>
      </c>
      <c r="B6" s="2" t="s">
        <v>127</v>
      </c>
      <c r="C6" s="2" t="s">
        <v>7</v>
      </c>
      <c r="D6" s="2">
        <v>76</v>
      </c>
      <c r="E6" s="2">
        <v>75</v>
      </c>
      <c r="G6" s="2" t="s">
        <v>128</v>
      </c>
      <c r="H6" s="2" t="s">
        <v>18</v>
      </c>
      <c r="I6" s="2" t="s">
        <v>129</v>
      </c>
      <c r="J6" s="2" t="str">
        <f t="shared" si="0"/>
        <v>남자</v>
      </c>
    </row>
    <row r="7" spans="1:10" x14ac:dyDescent="0.3">
      <c r="A7" s="2" t="s">
        <v>24</v>
      </c>
      <c r="B7" s="2" t="s">
        <v>130</v>
      </c>
      <c r="C7" s="2" t="s">
        <v>8</v>
      </c>
      <c r="D7" s="2">
        <v>68</v>
      </c>
      <c r="E7" s="2">
        <v>73</v>
      </c>
      <c r="G7" s="2" t="s">
        <v>131</v>
      </c>
      <c r="H7" s="2" t="s">
        <v>25</v>
      </c>
      <c r="I7" s="2" t="s">
        <v>132</v>
      </c>
      <c r="J7" s="2" t="str">
        <f t="shared" si="0"/>
        <v>남자</v>
      </c>
    </row>
    <row r="8" spans="1:10" x14ac:dyDescent="0.3">
      <c r="A8" s="2" t="s">
        <v>26</v>
      </c>
      <c r="B8" s="2" t="s">
        <v>133</v>
      </c>
      <c r="C8" s="2" t="s">
        <v>134</v>
      </c>
      <c r="D8" s="2">
        <v>97</v>
      </c>
      <c r="E8" s="2">
        <v>99</v>
      </c>
      <c r="G8" s="2" t="s">
        <v>135</v>
      </c>
      <c r="H8" s="2" t="s">
        <v>20</v>
      </c>
      <c r="I8" s="2" t="s">
        <v>136</v>
      </c>
      <c r="J8" s="2" t="str">
        <f t="shared" si="0"/>
        <v>남자</v>
      </c>
    </row>
    <row r="9" spans="1:10" x14ac:dyDescent="0.3">
      <c r="A9" s="2" t="s">
        <v>27</v>
      </c>
      <c r="B9" s="2" t="s">
        <v>137</v>
      </c>
      <c r="C9" s="2" t="s">
        <v>138</v>
      </c>
      <c r="D9" s="2">
        <v>58</v>
      </c>
      <c r="E9" s="2">
        <v>54</v>
      </c>
      <c r="G9" s="2" t="s">
        <v>139</v>
      </c>
      <c r="H9" s="2" t="s">
        <v>18</v>
      </c>
      <c r="I9" s="2" t="s">
        <v>140</v>
      </c>
      <c r="J9" s="2" t="str">
        <f t="shared" si="0"/>
        <v>남자</v>
      </c>
    </row>
    <row r="10" spans="1:10" x14ac:dyDescent="0.3">
      <c r="A10" s="2" t="s">
        <v>28</v>
      </c>
      <c r="B10" s="2" t="s">
        <v>141</v>
      </c>
      <c r="C10" s="2" t="s">
        <v>138</v>
      </c>
      <c r="D10" s="2">
        <v>92</v>
      </c>
      <c r="E10" s="2">
        <v>82</v>
      </c>
      <c r="G10" s="2" t="s">
        <v>142</v>
      </c>
      <c r="H10" s="2" t="s">
        <v>22</v>
      </c>
      <c r="I10" s="2" t="s">
        <v>143</v>
      </c>
      <c r="J10" s="2" t="str">
        <f t="shared" si="0"/>
        <v>여자</v>
      </c>
    </row>
    <row r="11" spans="1:10" x14ac:dyDescent="0.3">
      <c r="A11" s="2" t="s">
        <v>29</v>
      </c>
      <c r="B11" s="2" t="s">
        <v>144</v>
      </c>
      <c r="C11" s="2" t="s">
        <v>8</v>
      </c>
      <c r="D11" s="2">
        <v>93</v>
      </c>
      <c r="E11" s="2">
        <v>87</v>
      </c>
      <c r="G11" s="2" t="s">
        <v>30</v>
      </c>
      <c r="H11" s="2" t="s">
        <v>25</v>
      </c>
      <c r="I11" s="2" t="s">
        <v>31</v>
      </c>
      <c r="J11" s="2" t="str">
        <f t="shared" si="0"/>
        <v>여자</v>
      </c>
    </row>
    <row r="12" spans="1:10" x14ac:dyDescent="0.3">
      <c r="A12" s="17" t="s">
        <v>145</v>
      </c>
      <c r="B12" s="17"/>
      <c r="C12" s="17"/>
      <c r="D12" s="17"/>
      <c r="E12" s="2" t="str">
        <f>COUNTIFS(D3:D11,"&gt;=85",E3:E11,"&gt;=80")&amp;"명"</f>
        <v>4명</v>
      </c>
      <c r="G12" s="2" t="s">
        <v>32</v>
      </c>
      <c r="H12" s="2" t="s">
        <v>18</v>
      </c>
      <c r="I12" s="2" t="s">
        <v>33</v>
      </c>
      <c r="J12" s="2" t="str">
        <f t="shared" si="0"/>
        <v>여자</v>
      </c>
    </row>
    <row r="14" spans="1:10" x14ac:dyDescent="0.3">
      <c r="A14" s="4" t="s">
        <v>34</v>
      </c>
      <c r="B14" s="5" t="s">
        <v>146</v>
      </c>
      <c r="H14" s="4" t="s">
        <v>35</v>
      </c>
      <c r="I14" s="5" t="s">
        <v>36</v>
      </c>
    </row>
    <row r="15" spans="1:10" x14ac:dyDescent="0.3">
      <c r="A15" s="2" t="s">
        <v>37</v>
      </c>
      <c r="B15" s="2" t="s">
        <v>38</v>
      </c>
      <c r="C15" s="2" t="s">
        <v>39</v>
      </c>
      <c r="D15" s="2" t="s">
        <v>40</v>
      </c>
      <c r="E15" s="2" t="s">
        <v>41</v>
      </c>
      <c r="F15" s="6" t="s">
        <v>42</v>
      </c>
      <c r="H15" s="2" t="s">
        <v>43</v>
      </c>
      <c r="I15" s="2" t="s">
        <v>44</v>
      </c>
      <c r="J15" s="6" t="s">
        <v>147</v>
      </c>
    </row>
    <row r="16" spans="1:10" x14ac:dyDescent="0.3">
      <c r="A16" s="2" t="s">
        <v>148</v>
      </c>
      <c r="B16" s="2" t="s">
        <v>45</v>
      </c>
      <c r="C16" s="2" t="s">
        <v>45</v>
      </c>
      <c r="D16" s="2" t="s">
        <v>45</v>
      </c>
      <c r="E16" s="2" t="s">
        <v>45</v>
      </c>
      <c r="F16" s="2" t="str">
        <f>CHOOSE(COUNTA(B16:E16),"25%","50%","75%","100%")</f>
        <v>100%</v>
      </c>
      <c r="H16" s="2" t="s">
        <v>46</v>
      </c>
      <c r="I16" s="7">
        <v>44506</v>
      </c>
      <c r="J16" s="2" t="str">
        <f>UPPER(H16)&amp;"-"&amp;MONTH(I16)</f>
        <v>COM-11</v>
      </c>
    </row>
    <row r="17" spans="1:10" x14ac:dyDescent="0.3">
      <c r="A17" s="2" t="s">
        <v>149</v>
      </c>
      <c r="B17" s="2"/>
      <c r="C17" s="2" t="s">
        <v>45</v>
      </c>
      <c r="D17" s="2" t="s">
        <v>45</v>
      </c>
      <c r="E17" s="2" t="s">
        <v>45</v>
      </c>
      <c r="F17" s="2" t="str">
        <f t="shared" ref="F17:F24" si="1">CHOOSE(COUNTA(B17:E17),"25%","50%","75%","100%")</f>
        <v>75%</v>
      </c>
      <c r="H17" s="2" t="s">
        <v>47</v>
      </c>
      <c r="I17" s="7">
        <v>44506</v>
      </c>
      <c r="J17" s="2" t="str">
        <f t="shared" ref="J17:J24" si="2">UPPER(H17)&amp;"-"&amp;MONTH(I17)</f>
        <v>MOU-11</v>
      </c>
    </row>
    <row r="18" spans="1:10" x14ac:dyDescent="0.3">
      <c r="A18" s="2" t="s">
        <v>150</v>
      </c>
      <c r="B18" s="2" t="s">
        <v>45</v>
      </c>
      <c r="C18" s="2" t="s">
        <v>45</v>
      </c>
      <c r="D18" s="2" t="s">
        <v>45</v>
      </c>
      <c r="E18" s="2" t="s">
        <v>45</v>
      </c>
      <c r="F18" s="2" t="str">
        <f t="shared" si="1"/>
        <v>100%</v>
      </c>
      <c r="H18" s="2" t="s">
        <v>48</v>
      </c>
      <c r="I18" s="7">
        <v>44506</v>
      </c>
      <c r="J18" s="2" t="str">
        <f t="shared" si="2"/>
        <v>KEY-11</v>
      </c>
    </row>
    <row r="19" spans="1:10" x14ac:dyDescent="0.3">
      <c r="A19" s="2" t="s">
        <v>151</v>
      </c>
      <c r="B19" s="2" t="s">
        <v>45</v>
      </c>
      <c r="C19" s="2"/>
      <c r="D19" s="2" t="s">
        <v>45</v>
      </c>
      <c r="E19" s="2" t="s">
        <v>45</v>
      </c>
      <c r="F19" s="2" t="str">
        <f t="shared" si="1"/>
        <v>75%</v>
      </c>
      <c r="H19" s="2" t="s">
        <v>46</v>
      </c>
      <c r="I19" s="7">
        <v>44535</v>
      </c>
      <c r="J19" s="2" t="str">
        <f t="shared" si="2"/>
        <v>COM-12</v>
      </c>
    </row>
    <row r="20" spans="1:10" x14ac:dyDescent="0.3">
      <c r="A20" s="2" t="s">
        <v>152</v>
      </c>
      <c r="B20" s="2" t="s">
        <v>45</v>
      </c>
      <c r="C20" s="2" t="s">
        <v>45</v>
      </c>
      <c r="D20" s="2"/>
      <c r="E20" s="2" t="s">
        <v>45</v>
      </c>
      <c r="F20" s="2" t="str">
        <f t="shared" si="1"/>
        <v>75%</v>
      </c>
      <c r="H20" s="2" t="s">
        <v>47</v>
      </c>
      <c r="I20" s="7">
        <v>44535</v>
      </c>
      <c r="J20" s="2" t="str">
        <f t="shared" si="2"/>
        <v>MOU-12</v>
      </c>
    </row>
    <row r="21" spans="1:10" x14ac:dyDescent="0.3">
      <c r="A21" s="2" t="s">
        <v>153</v>
      </c>
      <c r="B21" s="2" t="s">
        <v>45</v>
      </c>
      <c r="C21" s="2" t="s">
        <v>45</v>
      </c>
      <c r="D21" s="2" t="s">
        <v>45</v>
      </c>
      <c r="E21" s="2" t="s">
        <v>45</v>
      </c>
      <c r="F21" s="2" t="str">
        <f t="shared" si="1"/>
        <v>100%</v>
      </c>
      <c r="H21" s="2" t="s">
        <v>48</v>
      </c>
      <c r="I21" s="7">
        <v>44535</v>
      </c>
      <c r="J21" s="2" t="str">
        <f t="shared" si="2"/>
        <v>KEY-12</v>
      </c>
    </row>
    <row r="22" spans="1:10" x14ac:dyDescent="0.3">
      <c r="A22" s="2" t="s">
        <v>154</v>
      </c>
      <c r="B22" s="2" t="s">
        <v>45</v>
      </c>
      <c r="C22" s="2" t="s">
        <v>45</v>
      </c>
      <c r="D22" s="2" t="s">
        <v>45</v>
      </c>
      <c r="E22" s="2" t="s">
        <v>45</v>
      </c>
      <c r="F22" s="2" t="str">
        <f t="shared" si="1"/>
        <v>100%</v>
      </c>
      <c r="H22" s="2" t="s">
        <v>46</v>
      </c>
      <c r="I22" s="7">
        <v>44564</v>
      </c>
      <c r="J22" s="2" t="str">
        <f t="shared" si="2"/>
        <v>COM-1</v>
      </c>
    </row>
    <row r="23" spans="1:10" x14ac:dyDescent="0.3">
      <c r="A23" s="2" t="s">
        <v>155</v>
      </c>
      <c r="B23" s="2" t="s">
        <v>45</v>
      </c>
      <c r="C23" s="2"/>
      <c r="D23" s="2" t="s">
        <v>45</v>
      </c>
      <c r="E23" s="2"/>
      <c r="F23" s="2" t="str">
        <f t="shared" si="1"/>
        <v>50%</v>
      </c>
      <c r="H23" s="2" t="s">
        <v>47</v>
      </c>
      <c r="I23" s="7">
        <v>44564</v>
      </c>
      <c r="J23" s="2" t="str">
        <f t="shared" si="2"/>
        <v>MOU-1</v>
      </c>
    </row>
    <row r="24" spans="1:10" x14ac:dyDescent="0.3">
      <c r="A24" s="2" t="s">
        <v>49</v>
      </c>
      <c r="B24" s="2" t="s">
        <v>45</v>
      </c>
      <c r="C24" s="2" t="s">
        <v>45</v>
      </c>
      <c r="D24" s="2" t="s">
        <v>45</v>
      </c>
      <c r="E24" s="2" t="s">
        <v>45</v>
      </c>
      <c r="F24" s="2" t="str">
        <f t="shared" si="1"/>
        <v>100%</v>
      </c>
      <c r="H24" s="2" t="s">
        <v>48</v>
      </c>
      <c r="I24" s="7">
        <v>44564</v>
      </c>
      <c r="J24" s="2" t="str">
        <f t="shared" si="2"/>
        <v>KEY-1</v>
      </c>
    </row>
    <row r="26" spans="1:10" x14ac:dyDescent="0.3">
      <c r="A26" s="4" t="s">
        <v>50</v>
      </c>
      <c r="B26" s="5" t="s">
        <v>156</v>
      </c>
    </row>
    <row r="27" spans="1:10" x14ac:dyDescent="0.3">
      <c r="A27" s="2" t="s">
        <v>157</v>
      </c>
      <c r="B27" s="2" t="s">
        <v>158</v>
      </c>
      <c r="C27" s="2" t="s">
        <v>159</v>
      </c>
      <c r="D27" s="2" t="s">
        <v>167</v>
      </c>
      <c r="E27" s="6" t="s">
        <v>169</v>
      </c>
    </row>
    <row r="28" spans="1:10" x14ac:dyDescent="0.3">
      <c r="A28" s="2" t="s">
        <v>160</v>
      </c>
      <c r="B28" s="2">
        <v>85</v>
      </c>
      <c r="C28" s="2">
        <v>90</v>
      </c>
      <c r="D28" s="2">
        <f>AVERAGE(B28:C28)</f>
        <v>87.5</v>
      </c>
      <c r="E28" s="2" t="str">
        <f>HLOOKUP(_xlfn.RANK.EQ(D28,$D$28:$D$35),$B$38:$E$39,2)</f>
        <v>B</v>
      </c>
    </row>
    <row r="29" spans="1:10" x14ac:dyDescent="0.3">
      <c r="A29" s="2" t="s">
        <v>161</v>
      </c>
      <c r="B29" s="2">
        <v>65</v>
      </c>
      <c r="C29" s="2">
        <v>65</v>
      </c>
      <c r="D29" s="2">
        <f t="shared" ref="D29:D35" si="3">AVERAGE(B29:C29)</f>
        <v>65</v>
      </c>
      <c r="E29" s="2" t="str">
        <f t="shared" ref="E29:E35" si="4">HLOOKUP(_xlfn.RANK.EQ(D29,$D$28:$D$35),$B$38:$E$39,2)</f>
        <v>D</v>
      </c>
    </row>
    <row r="30" spans="1:10" x14ac:dyDescent="0.3">
      <c r="A30" s="2" t="s">
        <v>162</v>
      </c>
      <c r="B30" s="2">
        <v>70</v>
      </c>
      <c r="C30" s="2">
        <v>95</v>
      </c>
      <c r="D30" s="2">
        <f t="shared" si="3"/>
        <v>82.5</v>
      </c>
      <c r="E30" s="2" t="str">
        <f t="shared" si="4"/>
        <v>C</v>
      </c>
    </row>
    <row r="31" spans="1:10" x14ac:dyDescent="0.3">
      <c r="A31" s="2" t="s">
        <v>163</v>
      </c>
      <c r="B31" s="2">
        <v>90</v>
      </c>
      <c r="C31" s="2">
        <v>80</v>
      </c>
      <c r="D31" s="2">
        <f t="shared" si="3"/>
        <v>85</v>
      </c>
      <c r="E31" s="2" t="str">
        <f t="shared" si="4"/>
        <v>B</v>
      </c>
    </row>
    <row r="32" spans="1:10" x14ac:dyDescent="0.3">
      <c r="A32" s="2" t="s">
        <v>164</v>
      </c>
      <c r="B32" s="2">
        <v>60</v>
      </c>
      <c r="C32" s="2">
        <v>75</v>
      </c>
      <c r="D32" s="2">
        <f t="shared" si="3"/>
        <v>67.5</v>
      </c>
      <c r="E32" s="2" t="str">
        <f t="shared" si="4"/>
        <v>D</v>
      </c>
    </row>
    <row r="33" spans="1:5" x14ac:dyDescent="0.3">
      <c r="A33" s="2" t="s">
        <v>165</v>
      </c>
      <c r="B33" s="2">
        <v>95</v>
      </c>
      <c r="C33" s="2">
        <v>85</v>
      </c>
      <c r="D33" s="2">
        <f t="shared" si="3"/>
        <v>90</v>
      </c>
      <c r="E33" s="2" t="str">
        <f t="shared" si="4"/>
        <v>A</v>
      </c>
    </row>
    <row r="34" spans="1:5" x14ac:dyDescent="0.3">
      <c r="A34" s="2" t="s">
        <v>166</v>
      </c>
      <c r="B34" s="2">
        <v>70</v>
      </c>
      <c r="C34" s="2">
        <v>85</v>
      </c>
      <c r="D34" s="2">
        <f t="shared" si="3"/>
        <v>77.5</v>
      </c>
      <c r="E34" s="2" t="str">
        <f t="shared" si="4"/>
        <v>C</v>
      </c>
    </row>
    <row r="35" spans="1:5" x14ac:dyDescent="0.3">
      <c r="A35" s="2" t="s">
        <v>170</v>
      </c>
      <c r="B35" s="2">
        <v>85</v>
      </c>
      <c r="C35" s="2">
        <v>95</v>
      </c>
      <c r="D35" s="2">
        <f t="shared" si="3"/>
        <v>90</v>
      </c>
      <c r="E35" s="2" t="str">
        <f t="shared" si="4"/>
        <v>A</v>
      </c>
    </row>
    <row r="37" spans="1:5" x14ac:dyDescent="0.3">
      <c r="A37" s="8" t="s">
        <v>168</v>
      </c>
    </row>
    <row r="38" spans="1:5" x14ac:dyDescent="0.3">
      <c r="A38" s="2" t="s">
        <v>51</v>
      </c>
      <c r="B38" s="2">
        <v>1</v>
      </c>
      <c r="C38" s="2">
        <v>3</v>
      </c>
      <c r="D38" s="2">
        <v>5</v>
      </c>
      <c r="E38" s="2">
        <v>7</v>
      </c>
    </row>
    <row r="39" spans="1:5" x14ac:dyDescent="0.3">
      <c r="A39" s="2" t="s">
        <v>175</v>
      </c>
      <c r="B39" s="2" t="s">
        <v>171</v>
      </c>
      <c r="C39" s="2" t="s">
        <v>172</v>
      </c>
      <c r="D39" s="2" t="s">
        <v>173</v>
      </c>
      <c r="E39" s="2" t="s">
        <v>174</v>
      </c>
    </row>
  </sheetData>
  <mergeCells count="1">
    <mergeCell ref="A12:D1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>
      <selection activeCell="F21" sqref="F21"/>
    </sheetView>
  </sheetViews>
  <sheetFormatPr defaultRowHeight="16.5" x14ac:dyDescent="0.3"/>
  <cols>
    <col min="1" max="1" width="15.25" bestFit="1" customWidth="1"/>
    <col min="2" max="2" width="11.875" bestFit="1" customWidth="1"/>
    <col min="3" max="4" width="11.375" bestFit="1" customWidth="1"/>
    <col min="5" max="5" width="12.75" customWidth="1"/>
    <col min="6" max="8" width="10.625" bestFit="1" customWidth="1"/>
  </cols>
  <sheetData>
    <row r="1" spans="1:8" ht="20.25" x14ac:dyDescent="0.3">
      <c r="A1" s="16" t="s">
        <v>176</v>
      </c>
      <c r="B1" s="16"/>
      <c r="C1" s="16"/>
      <c r="D1" s="16"/>
      <c r="E1" s="16"/>
      <c r="F1" s="16"/>
      <c r="G1" s="16"/>
      <c r="H1" s="16"/>
    </row>
    <row r="3" spans="1:8" x14ac:dyDescent="0.3">
      <c r="A3" s="2" t="s">
        <v>5</v>
      </c>
      <c r="B3" s="2" t="s">
        <v>180</v>
      </c>
      <c r="C3" s="2" t="s">
        <v>181</v>
      </c>
      <c r="D3" s="2" t="s">
        <v>182</v>
      </c>
      <c r="E3" s="2" t="s">
        <v>52</v>
      </c>
      <c r="F3" s="2" t="s">
        <v>53</v>
      </c>
      <c r="G3" s="2" t="s">
        <v>54</v>
      </c>
      <c r="H3" s="2" t="s">
        <v>55</v>
      </c>
    </row>
    <row r="4" spans="1:8" x14ac:dyDescent="0.3">
      <c r="A4" s="2" t="s">
        <v>183</v>
      </c>
      <c r="B4" s="2" t="s">
        <v>184</v>
      </c>
      <c r="C4" s="2" t="s">
        <v>185</v>
      </c>
      <c r="D4" s="2">
        <v>15</v>
      </c>
      <c r="E4" s="3">
        <v>4500000</v>
      </c>
      <c r="F4" s="3">
        <v>1700000</v>
      </c>
      <c r="G4" s="3">
        <v>1300000</v>
      </c>
      <c r="H4" s="3">
        <v>4900000</v>
      </c>
    </row>
    <row r="5" spans="1:8" x14ac:dyDescent="0.3">
      <c r="A5" s="2" t="s">
        <v>186</v>
      </c>
      <c r="B5" s="2" t="s">
        <v>187</v>
      </c>
      <c r="C5" s="2" t="s">
        <v>188</v>
      </c>
      <c r="D5" s="2">
        <v>9</v>
      </c>
      <c r="E5" s="3">
        <v>3900000</v>
      </c>
      <c r="F5" s="3">
        <v>1500000</v>
      </c>
      <c r="G5" s="3">
        <v>1100000</v>
      </c>
      <c r="H5" s="3">
        <v>4300000</v>
      </c>
    </row>
    <row r="6" spans="1:8" x14ac:dyDescent="0.3">
      <c r="A6" s="2" t="s">
        <v>189</v>
      </c>
      <c r="B6" s="2" t="s">
        <v>190</v>
      </c>
      <c r="C6" s="2" t="s">
        <v>191</v>
      </c>
      <c r="D6" s="2">
        <v>5</v>
      </c>
      <c r="E6" s="3">
        <v>3300000</v>
      </c>
      <c r="F6" s="3">
        <v>950000</v>
      </c>
      <c r="G6" s="3">
        <v>950000</v>
      </c>
      <c r="H6" s="3">
        <v>3300000</v>
      </c>
    </row>
    <row r="7" spans="1:8" x14ac:dyDescent="0.3">
      <c r="A7" s="2" t="s">
        <v>192</v>
      </c>
      <c r="B7" s="2" t="s">
        <v>187</v>
      </c>
      <c r="C7" s="2" t="s">
        <v>193</v>
      </c>
      <c r="D7" s="2">
        <v>2</v>
      </c>
      <c r="E7" s="3">
        <v>2600000</v>
      </c>
      <c r="F7" s="3">
        <v>850000</v>
      </c>
      <c r="G7" s="3">
        <v>650000</v>
      </c>
      <c r="H7" s="3">
        <v>2800000</v>
      </c>
    </row>
    <row r="8" spans="1:8" x14ac:dyDescent="0.3">
      <c r="A8" s="2" t="s">
        <v>194</v>
      </c>
      <c r="B8" s="2" t="s">
        <v>196</v>
      </c>
      <c r="C8" s="2" t="s">
        <v>197</v>
      </c>
      <c r="D8" s="2">
        <v>12</v>
      </c>
      <c r="E8" s="3">
        <v>4200000</v>
      </c>
      <c r="F8" s="3">
        <v>1300000</v>
      </c>
      <c r="G8" s="3">
        <v>1100000</v>
      </c>
      <c r="H8" s="3">
        <v>4400000</v>
      </c>
    </row>
    <row r="9" spans="1:8" x14ac:dyDescent="0.3">
      <c r="A9" s="2" t="s">
        <v>198</v>
      </c>
      <c r="B9" s="2" t="s">
        <v>196</v>
      </c>
      <c r="C9" s="2" t="s">
        <v>199</v>
      </c>
      <c r="D9" s="2">
        <v>8</v>
      </c>
      <c r="E9" s="3">
        <v>3600000</v>
      </c>
      <c r="F9" s="3">
        <v>1400000</v>
      </c>
      <c r="G9" s="3">
        <v>1000000</v>
      </c>
      <c r="H9" s="3">
        <v>4000000</v>
      </c>
    </row>
    <row r="10" spans="1:8" x14ac:dyDescent="0.3">
      <c r="A10" s="2" t="s">
        <v>200</v>
      </c>
      <c r="B10" s="2" t="s">
        <v>195</v>
      </c>
      <c r="C10" s="2" t="s">
        <v>191</v>
      </c>
      <c r="D10" s="2">
        <v>3</v>
      </c>
      <c r="E10" s="3">
        <v>3100000</v>
      </c>
      <c r="F10" s="3">
        <v>850000</v>
      </c>
      <c r="G10" s="3">
        <v>850000</v>
      </c>
      <c r="H10" s="3">
        <v>3100000</v>
      </c>
    </row>
    <row r="11" spans="1:8" x14ac:dyDescent="0.3">
      <c r="A11" s="2" t="s">
        <v>201</v>
      </c>
      <c r="B11" s="2" t="s">
        <v>196</v>
      </c>
      <c r="C11" s="2" t="s">
        <v>202</v>
      </c>
      <c r="D11" s="2">
        <v>1</v>
      </c>
      <c r="E11" s="3">
        <v>2400000</v>
      </c>
      <c r="F11" s="3">
        <v>820000</v>
      </c>
      <c r="G11" s="3">
        <v>550000</v>
      </c>
      <c r="H11" s="3">
        <v>2670000</v>
      </c>
    </row>
    <row r="12" spans="1:8" x14ac:dyDescent="0.3">
      <c r="A12" s="2" t="s">
        <v>203</v>
      </c>
      <c r="B12" s="2" t="s">
        <v>204</v>
      </c>
      <c r="C12" s="2" t="s">
        <v>185</v>
      </c>
      <c r="D12" s="2">
        <v>10</v>
      </c>
      <c r="E12" s="3">
        <v>4000000</v>
      </c>
      <c r="F12" s="3">
        <v>1500000</v>
      </c>
      <c r="G12" s="3">
        <v>1100000</v>
      </c>
      <c r="H12" s="3">
        <v>4400000</v>
      </c>
    </row>
    <row r="13" spans="1:8" x14ac:dyDescent="0.3">
      <c r="A13" s="2" t="s">
        <v>205</v>
      </c>
      <c r="B13" s="2" t="s">
        <v>204</v>
      </c>
      <c r="C13" s="2" t="s">
        <v>188</v>
      </c>
      <c r="D13" s="2">
        <v>7</v>
      </c>
      <c r="E13" s="3">
        <v>3500000</v>
      </c>
      <c r="F13" s="3">
        <v>1350000</v>
      </c>
      <c r="G13" s="3">
        <v>1020000</v>
      </c>
      <c r="H13" s="3">
        <v>3830000</v>
      </c>
    </row>
    <row r="14" spans="1:8" x14ac:dyDescent="0.3">
      <c r="A14" s="2" t="s">
        <v>206</v>
      </c>
      <c r="B14" s="2" t="s">
        <v>204</v>
      </c>
      <c r="C14" s="2" t="s">
        <v>191</v>
      </c>
      <c r="D14" s="2">
        <v>4</v>
      </c>
      <c r="E14" s="3">
        <v>3200000</v>
      </c>
      <c r="F14" s="3">
        <v>900000</v>
      </c>
      <c r="G14" s="3">
        <v>930000</v>
      </c>
      <c r="H14" s="3">
        <v>3170000</v>
      </c>
    </row>
    <row r="15" spans="1:8" x14ac:dyDescent="0.3">
      <c r="A15" s="2" t="s">
        <v>207</v>
      </c>
      <c r="B15" s="2" t="s">
        <v>204</v>
      </c>
      <c r="C15" s="2" t="s">
        <v>202</v>
      </c>
      <c r="D15" s="2">
        <v>2</v>
      </c>
      <c r="E15" s="3">
        <v>2600000</v>
      </c>
      <c r="F15" s="3">
        <v>810000</v>
      </c>
      <c r="G15" s="3">
        <v>600000</v>
      </c>
      <c r="H15" s="3">
        <v>2810000</v>
      </c>
    </row>
    <row r="20" spans="1:4" x14ac:dyDescent="0.3">
      <c r="A20" s="32" t="s">
        <v>250</v>
      </c>
      <c r="B20" s="32" t="s">
        <v>247</v>
      </c>
    </row>
    <row r="21" spans="1:4" x14ac:dyDescent="0.3">
      <c r="A21" s="32" t="s">
        <v>241</v>
      </c>
      <c r="B21" s="34" t="s">
        <v>248</v>
      </c>
      <c r="C21" s="34" t="s">
        <v>249</v>
      </c>
      <c r="D21" s="34" t="s">
        <v>246</v>
      </c>
    </row>
    <row r="22" spans="1:4" x14ac:dyDescent="0.3">
      <c r="A22" s="33" t="s">
        <v>242</v>
      </c>
      <c r="B22" s="34">
        <v>3300000</v>
      </c>
      <c r="C22" s="34">
        <v>3100000</v>
      </c>
      <c r="D22" s="34">
        <v>3200000</v>
      </c>
    </row>
    <row r="23" spans="1:4" x14ac:dyDescent="0.3">
      <c r="A23" s="33" t="s">
        <v>243</v>
      </c>
      <c r="B23" s="34">
        <v>2800000</v>
      </c>
      <c r="C23" s="34">
        <v>2670000</v>
      </c>
      <c r="D23" s="34">
        <v>2735000</v>
      </c>
    </row>
    <row r="24" spans="1:4" x14ac:dyDescent="0.3">
      <c r="A24" s="33" t="s">
        <v>244</v>
      </c>
      <c r="B24" s="34">
        <v>4300000</v>
      </c>
      <c r="C24" s="34">
        <v>4000000</v>
      </c>
      <c r="D24" s="34">
        <v>4150000</v>
      </c>
    </row>
    <row r="25" spans="1:4" x14ac:dyDescent="0.3">
      <c r="A25" s="33" t="s">
        <v>245</v>
      </c>
      <c r="B25" s="34">
        <v>4900000</v>
      </c>
      <c r="C25" s="34">
        <v>4400000</v>
      </c>
      <c r="D25" s="34">
        <v>4650000</v>
      </c>
    </row>
    <row r="26" spans="1:4" x14ac:dyDescent="0.3">
      <c r="A26" s="33" t="s">
        <v>246</v>
      </c>
      <c r="B26" s="34">
        <v>3825000</v>
      </c>
      <c r="C26" s="34">
        <v>3542500</v>
      </c>
      <c r="D26" s="34">
        <v>3683750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H7" sqref="H7"/>
    </sheetView>
  </sheetViews>
  <sheetFormatPr defaultRowHeight="16.5" x14ac:dyDescent="0.3"/>
  <cols>
    <col min="1" max="1" width="12.375" bestFit="1" customWidth="1"/>
    <col min="2" max="2" width="13.25" bestFit="1" customWidth="1"/>
    <col min="5" max="5" width="12.375" bestFit="1" customWidth="1"/>
  </cols>
  <sheetData>
    <row r="1" spans="1:5" ht="20.25" x14ac:dyDescent="0.3">
      <c r="A1" s="16" t="s">
        <v>177</v>
      </c>
      <c r="B1" s="16"/>
    </row>
    <row r="2" spans="1:5" x14ac:dyDescent="0.3">
      <c r="A2" s="9" t="s">
        <v>208</v>
      </c>
      <c r="B2" s="10">
        <v>40000000</v>
      </c>
      <c r="D2" s="1"/>
      <c r="E2" s="2" t="s">
        <v>238</v>
      </c>
    </row>
    <row r="3" spans="1:5" x14ac:dyDescent="0.3">
      <c r="A3" s="9" t="s">
        <v>209</v>
      </c>
      <c r="B3" s="10">
        <f>PMT(B4/12,B5*12,,-B2)</f>
        <v>804317.87643979234</v>
      </c>
      <c r="D3" s="2" t="s">
        <v>178</v>
      </c>
      <c r="E3" s="10">
        <f>B3</f>
        <v>804317.87643979234</v>
      </c>
    </row>
    <row r="4" spans="1:5" x14ac:dyDescent="0.3">
      <c r="A4" s="9" t="s">
        <v>210</v>
      </c>
      <c r="B4" s="14">
        <v>1.7999999999999999E-2</v>
      </c>
      <c r="D4" s="13">
        <v>1</v>
      </c>
      <c r="E4" s="10">
        <f t="dataTable" ref="E4:E10" dt2D="0" dtr="0" r1="B5"/>
        <v>3305922.6408841587</v>
      </c>
    </row>
    <row r="5" spans="1:5" x14ac:dyDescent="0.3">
      <c r="A5" s="9" t="s">
        <v>211</v>
      </c>
      <c r="B5" s="12">
        <v>4</v>
      </c>
      <c r="D5" s="13">
        <v>2</v>
      </c>
      <c r="E5" s="10">
        <v>1638096.2156565201</v>
      </c>
    </row>
    <row r="6" spans="1:5" x14ac:dyDescent="0.3">
      <c r="D6" s="13">
        <v>3</v>
      </c>
      <c r="E6" s="10">
        <v>1082214.0208778658</v>
      </c>
    </row>
    <row r="7" spans="1:5" x14ac:dyDescent="0.3">
      <c r="D7" s="13">
        <v>4</v>
      </c>
      <c r="E7" s="10">
        <v>804317.87643979234</v>
      </c>
    </row>
    <row r="8" spans="1:5" x14ac:dyDescent="0.3">
      <c r="D8" s="13">
        <v>5</v>
      </c>
      <c r="E8" s="10">
        <v>637616.14399556699</v>
      </c>
    </row>
    <row r="9" spans="1:5" x14ac:dyDescent="0.3">
      <c r="D9" s="13">
        <v>6</v>
      </c>
      <c r="E9" s="10">
        <v>526511.60882697057</v>
      </c>
    </row>
    <row r="10" spans="1:5" x14ac:dyDescent="0.3">
      <c r="D10" s="13">
        <v>7.0000000000000009</v>
      </c>
      <c r="E10" s="10">
        <v>447176.89153994102</v>
      </c>
    </row>
  </sheetData>
  <dataConsolidate/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0"/>
  <sheetViews>
    <sheetView workbookViewId="0">
      <selection activeCell="G15" sqref="G15"/>
    </sheetView>
  </sheetViews>
  <sheetFormatPr defaultRowHeight="16.5" x14ac:dyDescent="0.3"/>
  <cols>
    <col min="1" max="1" width="12.375" bestFit="1" customWidth="1"/>
  </cols>
  <sheetData>
    <row r="1" spans="1:6" ht="20.25" x14ac:dyDescent="0.3">
      <c r="A1" s="16" t="s">
        <v>212</v>
      </c>
      <c r="B1" s="16"/>
      <c r="C1" s="16"/>
      <c r="D1" s="16"/>
      <c r="E1" s="16"/>
      <c r="F1" s="16"/>
    </row>
    <row r="2" spans="1:6" x14ac:dyDescent="0.3">
      <c r="F2" t="s">
        <v>213</v>
      </c>
    </row>
    <row r="3" spans="1:6" x14ac:dyDescent="0.3">
      <c r="A3" s="35" t="s">
        <v>214</v>
      </c>
      <c r="B3" s="36" t="s">
        <v>215</v>
      </c>
      <c r="C3" s="36" t="s">
        <v>216</v>
      </c>
      <c r="D3" s="36" t="s">
        <v>217</v>
      </c>
      <c r="E3" s="36" t="s">
        <v>218</v>
      </c>
      <c r="F3" s="36" t="s">
        <v>219</v>
      </c>
    </row>
    <row r="4" spans="1:6" x14ac:dyDescent="0.3">
      <c r="A4" s="2" t="s">
        <v>220</v>
      </c>
      <c r="B4" s="2">
        <v>21.2</v>
      </c>
      <c r="C4" s="2">
        <v>20.3</v>
      </c>
      <c r="D4" s="2">
        <v>23.4</v>
      </c>
      <c r="E4" s="2">
        <v>22.7</v>
      </c>
      <c r="F4" s="15">
        <f>AVERAGE(B4:E4)</f>
        <v>21.900000000000002</v>
      </c>
    </row>
    <row r="5" spans="1:6" x14ac:dyDescent="0.3">
      <c r="A5" s="2" t="s">
        <v>221</v>
      </c>
      <c r="B5" s="2">
        <v>8.9</v>
      </c>
      <c r="C5" s="2">
        <v>8.6999999999999993</v>
      </c>
      <c r="D5" s="2">
        <v>8.4</v>
      </c>
      <c r="E5" s="2">
        <v>8.1</v>
      </c>
      <c r="F5" s="15">
        <f>AVERAGE(B5:E5)</f>
        <v>8.5250000000000004</v>
      </c>
    </row>
    <row r="6" spans="1:6" x14ac:dyDescent="0.3">
      <c r="A6" s="2" t="s">
        <v>222</v>
      </c>
      <c r="B6" s="2">
        <v>20.100000000000001</v>
      </c>
      <c r="C6" s="2">
        <v>20.6</v>
      </c>
      <c r="D6" s="2">
        <v>21.7</v>
      </c>
      <c r="E6" s="2">
        <v>22.2</v>
      </c>
      <c r="F6" s="15">
        <f>AVERAGE(B6:E6)</f>
        <v>21.150000000000002</v>
      </c>
    </row>
    <row r="7" spans="1:6" x14ac:dyDescent="0.3">
      <c r="A7" s="2" t="s">
        <v>223</v>
      </c>
      <c r="B7" s="2">
        <v>6.2</v>
      </c>
      <c r="C7" s="2">
        <v>6.7</v>
      </c>
      <c r="D7" s="2">
        <v>7.3</v>
      </c>
      <c r="E7" s="2">
        <v>7.7</v>
      </c>
      <c r="F7" s="15">
        <f>AVERAGE(B7:E7)</f>
        <v>6.9749999999999996</v>
      </c>
    </row>
    <row r="8" spans="1:6" x14ac:dyDescent="0.3">
      <c r="A8" s="2" t="s">
        <v>224</v>
      </c>
      <c r="B8" s="2">
        <v>19.100000000000001</v>
      </c>
      <c r="C8" s="2">
        <v>18.899999999999999</v>
      </c>
      <c r="D8" s="2">
        <v>17.2</v>
      </c>
      <c r="E8" s="2">
        <v>18.2</v>
      </c>
      <c r="F8" s="15">
        <f>AVERAGE(B8:E8)</f>
        <v>18.350000000000001</v>
      </c>
    </row>
    <row r="9" spans="1:6" x14ac:dyDescent="0.3">
      <c r="A9" s="2" t="s">
        <v>225</v>
      </c>
      <c r="B9" s="2">
        <v>16.100000000000001</v>
      </c>
      <c r="C9" s="2">
        <v>15.9</v>
      </c>
      <c r="D9" s="2">
        <v>16.600000000000001</v>
      </c>
      <c r="E9" s="2">
        <v>16.3</v>
      </c>
      <c r="F9" s="15">
        <f>AVERAGE(B9:E9)</f>
        <v>16.225000000000001</v>
      </c>
    </row>
    <row r="10" spans="1:6" x14ac:dyDescent="0.3">
      <c r="A10" s="2" t="s">
        <v>226</v>
      </c>
      <c r="B10" s="2">
        <v>6.5</v>
      </c>
      <c r="C10" s="2">
        <v>5.8</v>
      </c>
      <c r="D10" s="2">
        <v>5.0999999999999996</v>
      </c>
      <c r="E10" s="2">
        <v>4.5</v>
      </c>
      <c r="F10" s="15">
        <f>AVERAGE(B10:E10)</f>
        <v>5.4749999999999996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2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J16" sqref="J16"/>
    </sheetView>
  </sheetViews>
  <sheetFormatPr defaultRowHeight="16.5" x14ac:dyDescent="0.3"/>
  <cols>
    <col min="1" max="1" width="10.5" bestFit="1" customWidth="1"/>
    <col min="4" max="4" width="10.625" bestFit="1" customWidth="1"/>
    <col min="5" max="5" width="10.5" bestFit="1" customWidth="1"/>
  </cols>
  <sheetData>
    <row r="1" spans="1:5" ht="20.25" x14ac:dyDescent="0.3">
      <c r="A1" s="16" t="s">
        <v>227</v>
      </c>
      <c r="B1" s="16"/>
      <c r="C1" s="16"/>
      <c r="D1" s="16"/>
      <c r="E1" s="16"/>
    </row>
    <row r="3" spans="1:5" x14ac:dyDescent="0.3">
      <c r="A3" s="2" t="s">
        <v>228</v>
      </c>
      <c r="B3" s="2" t="s">
        <v>229</v>
      </c>
      <c r="C3" s="2" t="s">
        <v>230</v>
      </c>
      <c r="D3" s="2" t="s">
        <v>231</v>
      </c>
      <c r="E3" s="2" t="s">
        <v>232</v>
      </c>
    </row>
    <row r="4" spans="1:5" x14ac:dyDescent="0.3">
      <c r="A4" s="2" t="s">
        <v>233</v>
      </c>
      <c r="B4" s="3">
        <v>1050</v>
      </c>
      <c r="C4" s="3">
        <v>995</v>
      </c>
      <c r="D4" s="3">
        <v>1190000</v>
      </c>
      <c r="E4" s="11">
        <f>C4/B4</f>
        <v>0.94761904761904758</v>
      </c>
    </row>
    <row r="5" spans="1:5" x14ac:dyDescent="0.3">
      <c r="A5" s="2" t="s">
        <v>234</v>
      </c>
      <c r="B5" s="3">
        <v>1150</v>
      </c>
      <c r="C5" s="3">
        <v>1209</v>
      </c>
      <c r="D5" s="3">
        <v>1050000</v>
      </c>
      <c r="E5" s="11">
        <f t="shared" ref="E5:E8" si="0">C5/B5</f>
        <v>1.0513043478260871</v>
      </c>
    </row>
    <row r="6" spans="1:5" x14ac:dyDescent="0.3">
      <c r="A6" s="2" t="s">
        <v>179</v>
      </c>
      <c r="B6" s="3">
        <v>1250</v>
      </c>
      <c r="C6" s="3">
        <v>1342</v>
      </c>
      <c r="D6" s="3">
        <v>1250000</v>
      </c>
      <c r="E6" s="11">
        <f t="shared" si="0"/>
        <v>1.0736000000000001</v>
      </c>
    </row>
    <row r="7" spans="1:5" x14ac:dyDescent="0.3">
      <c r="A7" s="2" t="s">
        <v>235</v>
      </c>
      <c r="B7" s="3">
        <v>950</v>
      </c>
      <c r="C7" s="3">
        <v>982</v>
      </c>
      <c r="D7" s="3">
        <v>880000</v>
      </c>
      <c r="E7" s="11">
        <f t="shared" si="0"/>
        <v>1.0336842105263158</v>
      </c>
    </row>
    <row r="8" spans="1:5" x14ac:dyDescent="0.3">
      <c r="A8" s="2" t="s">
        <v>236</v>
      </c>
      <c r="B8" s="3">
        <v>1100</v>
      </c>
      <c r="C8" s="3">
        <v>1320</v>
      </c>
      <c r="D8" s="3">
        <v>950000</v>
      </c>
      <c r="E8" s="11">
        <f t="shared" si="0"/>
        <v>1.2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2023-10-29T23:41:34Z</dcterms:modified>
</cp:coreProperties>
</file>